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08"/>
  </bookViews>
  <sheets>
    <sheet name="2025년 간트 차트" sheetId="1" r:id="rId1"/>
  </sheets>
  <calcPr calcId="162913"/>
</workbook>
</file>

<file path=xl/calcChain.xml><?xml version="1.0" encoding="utf-8"?>
<calcChain xmlns="http://schemas.openxmlformats.org/spreadsheetml/2006/main">
  <c r="F16" i="1" l="1"/>
  <c r="F15" i="1"/>
  <c r="F14" i="1"/>
  <c r="F13" i="1"/>
  <c r="F11" i="1"/>
  <c r="F10" i="1"/>
  <c r="F9" i="1"/>
  <c r="F8" i="1"/>
  <c r="F7" i="1"/>
  <c r="D71" i="1" a="1"/>
  <c r="E36" i="1" a="1"/>
  <c r="D36" i="1" a="1"/>
  <c r="E71" i="1" a="1"/>
  <c r="E71" i="1" l="1"/>
  <c r="D36" i="1"/>
  <c r="E36" i="1"/>
  <c r="D71" i="1"/>
</calcChain>
</file>

<file path=xl/comments1.xml><?xml version="1.0" encoding="utf-8"?>
<comments xmlns="http://schemas.openxmlformats.org/spreadsheetml/2006/main">
  <authors>
    <author/>
  </authors>
  <commentList>
    <comment ref="F4" authorId="0" shapeId="0">
      <text>
        <r>
          <rPr>
            <sz val="10"/>
            <color rgb="FF000000"/>
            <rFont val="Arial"/>
            <scheme val="minor"/>
          </rPr>
          <t>백분율(%)로 입력</t>
        </r>
      </text>
    </comment>
  </commentList>
</comments>
</file>

<file path=xl/sharedStrings.xml><?xml version="1.0" encoding="utf-8"?>
<sst xmlns="http://schemas.openxmlformats.org/spreadsheetml/2006/main" count="77" uniqueCount="77">
  <si>
    <r>
      <rPr>
        <b/>
        <sz val="12"/>
        <color theme="1"/>
        <rFont val="Nanum Gothic"/>
      </rPr>
      <t xml:space="preserve">초간단 간트 차트 </t>
    </r>
    <r>
      <rPr>
        <sz val="12"/>
        <color theme="1"/>
        <rFont val="Nanum Gothic"/>
      </rPr>
      <t>(본인 프로필 우측에 채팅 아이콘 있으니 필요 시 적극 활용)</t>
    </r>
  </si>
  <si>
    <t>팀</t>
  </si>
  <si>
    <t>업무 (담당자)</t>
  </si>
  <si>
    <t>시작</t>
  </si>
  <si>
    <t>종료</t>
  </si>
  <si>
    <t>진행률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</si>
  <si>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</si>
  <si>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</si>
  <si>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</si>
  <si>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</si>
  <si>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</si>
  <si>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</si>
  <si>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</si>
  <si>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</si>
  <si>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</si>
  <si>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</si>
  <si>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</si>
  <si>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</si>
  <si>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기획팀</t>
  </si>
  <si>
    <t>기획 업무</t>
  </si>
  <si>
    <t>데미지 시스템 작성 (김덕용)</t>
  </si>
  <si>
    <t>기획서 수정 (김덕용)</t>
  </si>
  <si>
    <t>깃 허브 규칙 내용 추가 (김덕용)</t>
  </si>
  <si>
    <t>검사 이펙트 필요 에셋 조사 (김덕용)</t>
  </si>
  <si>
    <t>메인UI - 시작화면 (김덕용)</t>
  </si>
  <si>
    <t>유물 리스트 정리 (김덕용)</t>
  </si>
  <si>
    <t>게임 조작키 정리 문서 (김덕용)</t>
  </si>
  <si>
    <t>게임 내 용어 정리 문서 (김덕용)</t>
  </si>
  <si>
    <t>1차 QA 문서 정리 (현서율)</t>
  </si>
  <si>
    <t>검사 스킬 프레임 수정 (김덕용)</t>
  </si>
  <si>
    <t xml:space="preserve">보스 스킬 사운드 정리 및 깃추가 </t>
  </si>
  <si>
    <t>전설 프로세스 문서 작성 (김덕용)</t>
  </si>
  <si>
    <t>기획 문서 허브 제작 (김덕용)</t>
  </si>
  <si>
    <t>정화된 프로세스 시스템 문서 (김덕용)</t>
  </si>
  <si>
    <t>정화된 프로세스 및 오염된 프로세스 [리스크 효과] 기획 (김덕용)</t>
  </si>
  <si>
    <t>몬스터 시스템 기획서 (김덕용)</t>
  </si>
  <si>
    <t>몬스터 애니메이션 기획서 (김덕용)</t>
  </si>
  <si>
    <t>몬스터 레벨링</t>
  </si>
  <si>
    <t>몬스터 행동 트리</t>
  </si>
  <si>
    <t>게임 기획서 및 게임 루프 문서</t>
  </si>
  <si>
    <t>2차 QA 문서 정리 (현서율)</t>
  </si>
  <si>
    <t>주차별 QA 버그 리포트 작성 (현서율)</t>
  </si>
  <si>
    <t>아트팀</t>
  </si>
  <si>
    <t>그래픽 리소스</t>
  </si>
  <si>
    <t>보스 몬스터 리깅 (박지현)</t>
  </si>
  <si>
    <t>보스 몬스터 사망 애니메이션 (박지현)</t>
  </si>
  <si>
    <t>보스 몬스터 피격 애니메이션 (박지현)</t>
  </si>
  <si>
    <t>보스 몬스터 몬스터 스폰2 애니메이션 (박지현)</t>
  </si>
  <si>
    <t>보스 몬스터 몬스터 스폰1 애니메이션 (박지현)</t>
  </si>
  <si>
    <t>보스 몬스터 공격 패턴3 애니메이션 (박지현)</t>
  </si>
  <si>
    <t>보스 몬스터 공격 패턴2 애니메이션 (박지현)</t>
  </si>
  <si>
    <t>보스 몬스터 공격 패턴1 애니메이션 (박지현)</t>
  </si>
  <si>
    <t>보스 몬스터 가만히 있는 애니메이션 (박지현)</t>
  </si>
  <si>
    <t>보스 몬스터 파츠 제작 (박지현)</t>
  </si>
  <si>
    <t>플레이어 캐릭터 기본 공격 애니메이션 수정 (조하은)</t>
  </si>
  <si>
    <t>게임 플레이 화면 UI 기본화면 (성가현)</t>
  </si>
  <si>
    <t>게임 설정 UI (성가현)</t>
  </si>
  <si>
    <t>게임 시작화면 제작 (성가현)</t>
  </si>
  <si>
    <t>플레이어 캐릭터 검사 스킬 이펙트 제작 (조하은)</t>
  </si>
  <si>
    <t>플레이어 캐릭터 검사 스킬1 애니메이션 제작 (조하은)</t>
  </si>
  <si>
    <t>플레이어 캐릭터 검사 스킬2 애니메이션 제작 (조하은)</t>
  </si>
  <si>
    <t xml:space="preserve"> </t>
  </si>
  <si>
    <t>몬스터 제작 (한우석)</t>
  </si>
  <si>
    <t>플레이어 캐릭터 검사 스킬3 애니메이션 제작 (조하은)</t>
  </si>
  <si>
    <t>문어다리슬라임 몬스터 채색 및 파츠 나누기 (한우석)</t>
  </si>
  <si>
    <t>프로그래머팀</t>
  </si>
  <si>
    <t>프로그래밍</t>
  </si>
  <si>
    <t>플레이어 사운드를 사운드 시스템 적용해서 연결</t>
  </si>
  <si>
    <t>유물 시스템 디자인 구상 (문태현)</t>
  </si>
  <si>
    <t>유물 시스템 (문태현)</t>
  </si>
  <si>
    <t>유물 효과 시스템 (문태현)</t>
  </si>
  <si>
    <t>유물 데이터베이스 (문태현)</t>
  </si>
  <si>
    <t>유물 효과 데이터베이스 (문태현)</t>
  </si>
  <si>
    <t>보스 스킬 1 (이재우)</t>
  </si>
  <si>
    <t>보스 스킬 2 (이재우)</t>
  </si>
  <si>
    <t>보스 스킬 3 (이재우)</t>
  </si>
  <si>
    <t>꼭 글자가 있어야..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</si>
</sst>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d"/>
    <numFmt numFmtId="177" formatCode="m/d"/>
  </numFmts>
  <fonts count="10">
    <font>
      <sz val="10"/>
      <color rgb="FF000000"/>
      <name val="Arial"/>
      <scheme val="minor"/>
    </font>
    <font>
      <sz val="10"/>
      <color theme="1"/>
      <name val="Nanum Gothic"/>
    </font>
    <font>
      <b/>
      <sz val="12"/>
      <color theme="1"/>
      <name val="Nanum Gothic"/>
    </font>
    <font>
      <b/>
      <sz val="10"/>
      <color theme="1"/>
      <name val="Nanum Gothic"/>
    </font>
    <font>
      <sz val="10"/>
      <name val="Arial"/>
      <family val="2"/>
    </font>
    <font>
      <b/>
      <sz val="10"/>
      <color rgb="FFFFFFFF"/>
      <name val="Nanum Gothic"/>
    </font>
    <font>
      <sz val="10"/>
      <color theme="1"/>
      <name val="Arial"/>
      <family val="2"/>
      <scheme val="minor"/>
    </font>
    <font>
      <sz val="10"/>
      <color rgb="FFFFFFFF"/>
      <name val="Nanum Gothic"/>
    </font>
    <font>
      <sz val="12"/>
      <color theme="1"/>
      <name val="Nanum Gothic"/>
    </font>
    <font>
      <sz val="8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176" fontId="1" fillId="2" borderId="8" xfId="0" applyNumberFormat="1" applyFont="1" applyFill="1" applyBorder="1" applyAlignment="1"/>
    <xf numFmtId="0" fontId="5" fillId="3" borderId="1" xfId="0" applyFont="1" applyFill="1" applyBorder="1" applyAlignment="1"/>
    <xf numFmtId="177" fontId="5" fillId="3" borderId="1" xfId="0" applyNumberFormat="1" applyFont="1" applyFill="1" applyBorder="1" applyAlignment="1">
      <alignment horizontal="center"/>
    </xf>
    <xf numFmtId="9" fontId="5" fillId="3" borderId="1" xfId="0" applyNumberFormat="1" applyFont="1" applyFill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2" xfId="0" applyFont="1" applyBorder="1" applyAlignment="1"/>
    <xf numFmtId="177" fontId="1" fillId="0" borderId="12" xfId="0" applyNumberFormat="1" applyFont="1" applyBorder="1" applyAlignment="1">
      <alignment horizontal="center"/>
    </xf>
    <xf numFmtId="177" fontId="1" fillId="0" borderId="13" xfId="0" applyNumberFormat="1" applyFont="1" applyBorder="1" applyAlignment="1">
      <alignment horizontal="center"/>
    </xf>
    <xf numFmtId="9" fontId="1" fillId="0" borderId="12" xfId="0" applyNumberFormat="1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4" borderId="13" xfId="0" applyFont="1" applyFill="1" applyBorder="1"/>
    <xf numFmtId="0" fontId="1" fillId="0" borderId="16" xfId="0" applyFont="1" applyBorder="1"/>
    <xf numFmtId="0" fontId="1" fillId="2" borderId="13" xfId="0" applyFont="1" applyFill="1" applyBorder="1"/>
    <xf numFmtId="0" fontId="6" fillId="0" borderId="0" xfId="0" applyFont="1" applyAlignment="1"/>
    <xf numFmtId="9" fontId="1" fillId="0" borderId="17" xfId="0" applyNumberFormat="1" applyFont="1" applyBorder="1" applyAlignment="1">
      <alignment horizontal="center"/>
    </xf>
    <xf numFmtId="0" fontId="1" fillId="0" borderId="18" xfId="0" applyFont="1" applyBorder="1" applyAlignment="1"/>
    <xf numFmtId="0" fontId="1" fillId="0" borderId="18" xfId="0" applyFont="1" applyBorder="1"/>
    <xf numFmtId="177" fontId="1" fillId="0" borderId="18" xfId="0" applyNumberFormat="1" applyFont="1" applyBorder="1" applyAlignment="1">
      <alignment horizontal="center"/>
    </xf>
    <xf numFmtId="177" fontId="1" fillId="0" borderId="9" xfId="0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9" fontId="1" fillId="0" borderId="18" xfId="0" applyNumberFormat="1" applyFont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0" fontId="6" fillId="0" borderId="0" xfId="0" applyFont="1"/>
    <xf numFmtId="177" fontId="1" fillId="0" borderId="18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77" fontId="1" fillId="0" borderId="18" xfId="0" applyNumberFormat="1" applyFont="1" applyBorder="1" applyAlignment="1">
      <alignment horizontal="center"/>
    </xf>
    <xf numFmtId="0" fontId="3" fillId="0" borderId="18" xfId="0" applyFont="1" applyBorder="1" applyAlignment="1"/>
    <xf numFmtId="177" fontId="3" fillId="0" borderId="1" xfId="0" applyNumberFormat="1" applyFont="1" applyBorder="1" applyAlignment="1">
      <alignment horizontal="center"/>
    </xf>
    <xf numFmtId="177" fontId="3" fillId="0" borderId="0" xfId="0" applyNumberFormat="1" applyFont="1" applyAlignment="1">
      <alignment horizontal="center"/>
    </xf>
    <xf numFmtId="177" fontId="1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77" fontId="1" fillId="0" borderId="1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6" fillId="0" borderId="18" xfId="0" applyFont="1" applyBorder="1"/>
    <xf numFmtId="0" fontId="1" fillId="0" borderId="17" xfId="0" applyFont="1" applyBorder="1"/>
    <xf numFmtId="177" fontId="1" fillId="0" borderId="17" xfId="0" applyNumberFormat="1" applyFont="1" applyBorder="1" applyAlignment="1">
      <alignment horizontal="center"/>
    </xf>
    <xf numFmtId="177" fontId="1" fillId="0" borderId="19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6" fillId="0" borderId="6" xfId="0" applyFont="1" applyBorder="1"/>
    <xf numFmtId="177" fontId="1" fillId="0" borderId="22" xfId="0" applyNumberFormat="1" applyFont="1" applyBorder="1" applyAlignment="1">
      <alignment horizontal="center"/>
    </xf>
    <xf numFmtId="177" fontId="1" fillId="0" borderId="23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4" fillId="0" borderId="6" xfId="0" applyFont="1" applyBorder="1"/>
    <xf numFmtId="0" fontId="3" fillId="0" borderId="2" xfId="0" applyFont="1" applyBorder="1" applyAlignment="1">
      <alignment horizontal="center" vertical="center"/>
    </xf>
    <xf numFmtId="0" fontId="4" fillId="0" borderId="7" xfId="0" applyFont="1" applyBorder="1"/>
    <xf numFmtId="0" fontId="1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</cellXfs>
  <cellStyles count="1">
    <cellStyle name="표준" xfId="0" builtinId="0"/>
  </cellStyles>
  <dxfs count="5">
    <dxf>
      <fill>
        <patternFill patternType="solid">
          <fgColor rgb="FFB6D7A8"/>
          <bgColor rgb="FFB6D7A8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NH115"/>
  <sheetViews>
    <sheetView showGridLines="0" tabSelected="1" workbookViewId="0">
      <pane xSplit="6" topLeftCell="G1" activePane="topRight" state="frozen"/>
      <selection pane="topRight" activeCell="E30" sqref="E30"/>
    </sheetView>
  </sheetViews>
  <sheetFormatPr defaultColWidth="12.6640625" defaultRowHeight="15.75" customHeight="1"/>
  <cols>
    <col min="1" max="1" width="2" customWidth="1"/>
    <col min="2" max="2" width="11" customWidth="1"/>
    <col min="3" max="3" width="48.33203125" customWidth="1"/>
    <col min="4" max="4" width="10.109375" customWidth="1"/>
    <col min="5" max="5" width="17" customWidth="1"/>
    <col min="6" max="6" width="10.109375" customWidth="1"/>
    <col min="7" max="249" width="2.6640625" hidden="1" customWidth="1"/>
    <col min="250" max="372" width="2.6640625" customWidth="1"/>
  </cols>
  <sheetData>
    <row r="1" spans="1:372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</row>
    <row r="2" spans="1:372" ht="15.75" customHeight="1">
      <c r="A2" s="3"/>
      <c r="B2" s="66" t="s">
        <v>0</v>
      </c>
      <c r="C2" s="67"/>
      <c r="D2" s="67"/>
      <c r="E2" s="67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</row>
    <row r="3" spans="1:372">
      <c r="A3" s="3"/>
      <c r="B3" s="3"/>
      <c r="C3" s="1"/>
      <c r="D3" s="3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</row>
    <row r="4" spans="1:372">
      <c r="A4" s="1"/>
      <c r="B4" s="68" t="s">
        <v>1</v>
      </c>
      <c r="C4" s="68" t="s">
        <v>2</v>
      </c>
      <c r="D4" s="68" t="s">
        <v>3</v>
      </c>
      <c r="E4" s="70" t="s">
        <v>4</v>
      </c>
      <c r="F4" s="68" t="s">
        <v>5</v>
      </c>
      <c r="G4" s="72" t="s">
        <v>6</v>
      </c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4"/>
      <c r="AL4" s="72" t="s">
        <v>7</v>
      </c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4"/>
      <c r="BN4" s="72" t="s">
        <v>8</v>
      </c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4"/>
      <c r="CS4" s="72" t="s">
        <v>9</v>
      </c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4"/>
      <c r="DW4" s="72" t="s">
        <v>10</v>
      </c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3"/>
      <c r="EX4" s="73"/>
      <c r="EY4" s="73"/>
      <c r="EZ4" s="73"/>
      <c r="FA4" s="74"/>
      <c r="FB4" s="72" t="s">
        <v>11</v>
      </c>
      <c r="FC4" s="73"/>
      <c r="FD4" s="73"/>
      <c r="FE4" s="73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3"/>
      <c r="GE4" s="74"/>
      <c r="GF4" s="72" t="s">
        <v>12</v>
      </c>
      <c r="GG4" s="73"/>
      <c r="GH4" s="73"/>
      <c r="GI4" s="73"/>
      <c r="GJ4" s="73"/>
      <c r="GK4" s="73"/>
      <c r="GL4" s="73"/>
      <c r="GM4" s="73"/>
      <c r="GN4" s="73"/>
      <c r="GO4" s="73"/>
      <c r="GP4" s="73"/>
      <c r="GQ4" s="73"/>
      <c r="GR4" s="73"/>
      <c r="GS4" s="73"/>
      <c r="GT4" s="73"/>
      <c r="GU4" s="73"/>
      <c r="GV4" s="73"/>
      <c r="GW4" s="73"/>
      <c r="GX4" s="73"/>
      <c r="GY4" s="73"/>
      <c r="GZ4" s="73"/>
      <c r="HA4" s="73"/>
      <c r="HB4" s="73"/>
      <c r="HC4" s="73"/>
      <c r="HD4" s="73"/>
      <c r="HE4" s="73"/>
      <c r="HF4" s="73"/>
      <c r="HG4" s="73"/>
      <c r="HH4" s="73"/>
      <c r="HI4" s="73"/>
      <c r="HJ4" s="74"/>
      <c r="HK4" s="72" t="s">
        <v>13</v>
      </c>
      <c r="HL4" s="73"/>
      <c r="HM4" s="73"/>
      <c r="HN4" s="73"/>
      <c r="HO4" s="73"/>
      <c r="HP4" s="73"/>
      <c r="HQ4" s="73"/>
      <c r="HR4" s="73"/>
      <c r="HS4" s="73"/>
      <c r="HT4" s="73"/>
      <c r="HU4" s="73"/>
      <c r="HV4" s="73"/>
      <c r="HW4" s="73"/>
      <c r="HX4" s="73"/>
      <c r="HY4" s="73"/>
      <c r="HZ4" s="73"/>
      <c r="IA4" s="73"/>
      <c r="IB4" s="73"/>
      <c r="IC4" s="73"/>
      <c r="ID4" s="73"/>
      <c r="IE4" s="73"/>
      <c r="IF4" s="73"/>
      <c r="IG4" s="73"/>
      <c r="IH4" s="73"/>
      <c r="II4" s="73"/>
      <c r="IJ4" s="73"/>
      <c r="IK4" s="73"/>
      <c r="IL4" s="73"/>
      <c r="IM4" s="73"/>
      <c r="IN4" s="73"/>
      <c r="IO4" s="74"/>
      <c r="IP4" s="72" t="s">
        <v>14</v>
      </c>
      <c r="IQ4" s="73"/>
      <c r="IR4" s="73"/>
      <c r="IS4" s="73"/>
      <c r="IT4" s="73"/>
      <c r="IU4" s="73"/>
      <c r="IV4" s="73"/>
      <c r="IW4" s="73"/>
      <c r="IX4" s="73"/>
      <c r="IY4" s="73"/>
      <c r="IZ4" s="73"/>
      <c r="JA4" s="73"/>
      <c r="JB4" s="73"/>
      <c r="JC4" s="73"/>
      <c r="JD4" s="73"/>
      <c r="JE4" s="73"/>
      <c r="JF4" s="73"/>
      <c r="JG4" s="73"/>
      <c r="JH4" s="73"/>
      <c r="JI4" s="73"/>
      <c r="JJ4" s="73"/>
      <c r="JK4" s="73"/>
      <c r="JL4" s="73"/>
      <c r="JM4" s="73"/>
      <c r="JN4" s="73"/>
      <c r="JO4" s="73"/>
      <c r="JP4" s="73"/>
      <c r="JQ4" s="73"/>
      <c r="JR4" s="73"/>
      <c r="JS4" s="74"/>
      <c r="JT4" s="72" t="s">
        <v>15</v>
      </c>
      <c r="JU4" s="73"/>
      <c r="JV4" s="73"/>
      <c r="JW4" s="73"/>
      <c r="JX4" s="73"/>
      <c r="JY4" s="73"/>
      <c r="JZ4" s="73"/>
      <c r="KA4" s="73"/>
      <c r="KB4" s="73"/>
      <c r="KC4" s="73"/>
      <c r="KD4" s="73"/>
      <c r="KE4" s="73"/>
      <c r="KF4" s="73"/>
      <c r="KG4" s="73"/>
      <c r="KH4" s="73"/>
      <c r="KI4" s="73"/>
      <c r="KJ4" s="73"/>
      <c r="KK4" s="73"/>
      <c r="KL4" s="73"/>
      <c r="KM4" s="73"/>
      <c r="KN4" s="73"/>
      <c r="KO4" s="73"/>
      <c r="KP4" s="73"/>
      <c r="KQ4" s="73"/>
      <c r="KR4" s="73"/>
      <c r="KS4" s="73"/>
      <c r="KT4" s="73"/>
      <c r="KU4" s="73"/>
      <c r="KV4" s="73"/>
      <c r="KW4" s="73"/>
      <c r="KX4" s="74"/>
      <c r="KY4" s="72" t="s">
        <v>16</v>
      </c>
      <c r="KZ4" s="73"/>
      <c r="LA4" s="73"/>
      <c r="LB4" s="73"/>
      <c r="LC4" s="73"/>
      <c r="LD4" s="73"/>
      <c r="LE4" s="73"/>
      <c r="LF4" s="73"/>
      <c r="LG4" s="73"/>
      <c r="LH4" s="73"/>
      <c r="LI4" s="73"/>
      <c r="LJ4" s="73"/>
      <c r="LK4" s="73"/>
      <c r="LL4" s="73"/>
      <c r="LM4" s="73"/>
      <c r="LN4" s="73"/>
      <c r="LO4" s="73"/>
      <c r="LP4" s="73"/>
      <c r="LQ4" s="73"/>
      <c r="LR4" s="73"/>
      <c r="LS4" s="73"/>
      <c r="LT4" s="73"/>
      <c r="LU4" s="73"/>
      <c r="LV4" s="73"/>
      <c r="LW4" s="73"/>
      <c r="LX4" s="73"/>
      <c r="LY4" s="73"/>
      <c r="LZ4" s="73"/>
      <c r="MA4" s="73"/>
      <c r="MB4" s="74"/>
      <c r="MC4" s="72" t="s">
        <v>17</v>
      </c>
      <c r="MD4" s="73"/>
      <c r="ME4" s="73"/>
      <c r="MF4" s="73"/>
      <c r="MG4" s="73"/>
      <c r="MH4" s="73"/>
      <c r="MI4" s="73"/>
      <c r="MJ4" s="73"/>
      <c r="MK4" s="73"/>
      <c r="ML4" s="73"/>
      <c r="MM4" s="73"/>
      <c r="MN4" s="73"/>
      <c r="MO4" s="73"/>
      <c r="MP4" s="73"/>
      <c r="MQ4" s="73"/>
      <c r="MR4" s="73"/>
      <c r="MS4" s="73"/>
      <c r="MT4" s="73"/>
      <c r="MU4" s="73"/>
      <c r="MV4" s="73"/>
      <c r="MW4" s="73"/>
      <c r="MX4" s="73"/>
      <c r="MY4" s="73"/>
      <c r="MZ4" s="73"/>
      <c r="NA4" s="73"/>
      <c r="NB4" s="73"/>
      <c r="NC4" s="73"/>
      <c r="ND4" s="73"/>
      <c r="NE4" s="73"/>
      <c r="NF4" s="73"/>
      <c r="NG4" s="74"/>
      <c r="NH4" s="1"/>
    </row>
    <row r="5" spans="1:372">
      <c r="A5" s="4"/>
      <c r="B5" s="69"/>
      <c r="C5" s="69"/>
      <c r="D5" s="69"/>
      <c r="E5" s="71"/>
      <c r="F5" s="69"/>
      <c r="G5" s="5">
        <v>45658</v>
      </c>
      <c r="H5" s="5">
        <v>45659</v>
      </c>
      <c r="I5" s="5">
        <v>45660</v>
      </c>
      <c r="J5" s="5">
        <v>45661</v>
      </c>
      <c r="K5" s="5">
        <v>45662</v>
      </c>
      <c r="L5" s="5">
        <v>45663</v>
      </c>
      <c r="M5" s="5">
        <v>45664</v>
      </c>
      <c r="N5" s="5">
        <v>45665</v>
      </c>
      <c r="O5" s="5">
        <v>45666</v>
      </c>
      <c r="P5" s="5">
        <v>45667</v>
      </c>
      <c r="Q5" s="5">
        <v>45668</v>
      </c>
      <c r="R5" s="5">
        <v>45669</v>
      </c>
      <c r="S5" s="5">
        <v>45670</v>
      </c>
      <c r="T5" s="5">
        <v>45671</v>
      </c>
      <c r="U5" s="5">
        <v>45672</v>
      </c>
      <c r="V5" s="5">
        <v>45673</v>
      </c>
      <c r="W5" s="5">
        <v>45674</v>
      </c>
      <c r="X5" s="5">
        <v>45675</v>
      </c>
      <c r="Y5" s="5">
        <v>45676</v>
      </c>
      <c r="Z5" s="5">
        <v>45677</v>
      </c>
      <c r="AA5" s="5">
        <v>45678</v>
      </c>
      <c r="AB5" s="5">
        <v>45679</v>
      </c>
      <c r="AC5" s="5">
        <v>45680</v>
      </c>
      <c r="AD5" s="5">
        <v>45681</v>
      </c>
      <c r="AE5" s="5">
        <v>45682</v>
      </c>
      <c r="AF5" s="5">
        <v>45683</v>
      </c>
      <c r="AG5" s="5">
        <v>45684</v>
      </c>
      <c r="AH5" s="5">
        <v>45685</v>
      </c>
      <c r="AI5" s="5">
        <v>45686</v>
      </c>
      <c r="AJ5" s="5">
        <v>45687</v>
      </c>
      <c r="AK5" s="5">
        <v>45688</v>
      </c>
      <c r="AL5" s="5">
        <v>45689</v>
      </c>
      <c r="AM5" s="5">
        <v>45690</v>
      </c>
      <c r="AN5" s="5">
        <v>45691</v>
      </c>
      <c r="AO5" s="5">
        <v>45692</v>
      </c>
      <c r="AP5" s="5">
        <v>45693</v>
      </c>
      <c r="AQ5" s="5">
        <v>45694</v>
      </c>
      <c r="AR5" s="5">
        <v>45695</v>
      </c>
      <c r="AS5" s="5">
        <v>45696</v>
      </c>
      <c r="AT5" s="5">
        <v>45697</v>
      </c>
      <c r="AU5" s="5">
        <v>45698</v>
      </c>
      <c r="AV5" s="5">
        <v>45699</v>
      </c>
      <c r="AW5" s="5">
        <v>45700</v>
      </c>
      <c r="AX5" s="5">
        <v>45701</v>
      </c>
      <c r="AY5" s="5">
        <v>45702</v>
      </c>
      <c r="AZ5" s="5">
        <v>45703</v>
      </c>
      <c r="BA5" s="5">
        <v>45704</v>
      </c>
      <c r="BB5" s="5">
        <v>45705</v>
      </c>
      <c r="BC5" s="5">
        <v>45706</v>
      </c>
      <c r="BD5" s="5">
        <v>45707</v>
      </c>
      <c r="BE5" s="5">
        <v>45708</v>
      </c>
      <c r="BF5" s="5">
        <v>45709</v>
      </c>
      <c r="BG5" s="5">
        <v>45710</v>
      </c>
      <c r="BH5" s="5">
        <v>45711</v>
      </c>
      <c r="BI5" s="5">
        <v>45712</v>
      </c>
      <c r="BJ5" s="5">
        <v>45713</v>
      </c>
      <c r="BK5" s="5">
        <v>45714</v>
      </c>
      <c r="BL5" s="5">
        <v>45715</v>
      </c>
      <c r="BM5" s="5">
        <v>45716</v>
      </c>
      <c r="BN5" s="5">
        <v>45717</v>
      </c>
      <c r="BO5" s="5">
        <v>45718</v>
      </c>
      <c r="BP5" s="5">
        <v>45719</v>
      </c>
      <c r="BQ5" s="5">
        <v>45720</v>
      </c>
      <c r="BR5" s="5">
        <v>45721</v>
      </c>
      <c r="BS5" s="5">
        <v>45722</v>
      </c>
      <c r="BT5" s="5">
        <v>45723</v>
      </c>
      <c r="BU5" s="5">
        <v>45724</v>
      </c>
      <c r="BV5" s="5">
        <v>45725</v>
      </c>
      <c r="BW5" s="5">
        <v>45726</v>
      </c>
      <c r="BX5" s="5">
        <v>45727</v>
      </c>
      <c r="BY5" s="5">
        <v>45728</v>
      </c>
      <c r="BZ5" s="5">
        <v>45729</v>
      </c>
      <c r="CA5" s="5">
        <v>45730</v>
      </c>
      <c r="CB5" s="5">
        <v>45731</v>
      </c>
      <c r="CC5" s="5">
        <v>45732</v>
      </c>
      <c r="CD5" s="5">
        <v>45733</v>
      </c>
      <c r="CE5" s="5">
        <v>45734</v>
      </c>
      <c r="CF5" s="5">
        <v>45735</v>
      </c>
      <c r="CG5" s="5">
        <v>45736</v>
      </c>
      <c r="CH5" s="5">
        <v>45737</v>
      </c>
      <c r="CI5" s="5">
        <v>45738</v>
      </c>
      <c r="CJ5" s="5">
        <v>45739</v>
      </c>
      <c r="CK5" s="5">
        <v>45740</v>
      </c>
      <c r="CL5" s="5">
        <v>45741</v>
      </c>
      <c r="CM5" s="5">
        <v>45742</v>
      </c>
      <c r="CN5" s="5">
        <v>45743</v>
      </c>
      <c r="CO5" s="5">
        <v>45744</v>
      </c>
      <c r="CP5" s="5">
        <v>45745</v>
      </c>
      <c r="CQ5" s="5">
        <v>45746</v>
      </c>
      <c r="CR5" s="5">
        <v>45747</v>
      </c>
      <c r="CS5" s="5">
        <v>45748</v>
      </c>
      <c r="CT5" s="5">
        <v>45749</v>
      </c>
      <c r="CU5" s="5">
        <v>45750</v>
      </c>
      <c r="CV5" s="5">
        <v>45751</v>
      </c>
      <c r="CW5" s="5">
        <v>45752</v>
      </c>
      <c r="CX5" s="5">
        <v>45753</v>
      </c>
      <c r="CY5" s="5">
        <v>45754</v>
      </c>
      <c r="CZ5" s="5">
        <v>45755</v>
      </c>
      <c r="DA5" s="5">
        <v>45756</v>
      </c>
      <c r="DB5" s="5">
        <v>45757</v>
      </c>
      <c r="DC5" s="5">
        <v>45758</v>
      </c>
      <c r="DD5" s="5">
        <v>45759</v>
      </c>
      <c r="DE5" s="5">
        <v>45760</v>
      </c>
      <c r="DF5" s="5">
        <v>45761</v>
      </c>
      <c r="DG5" s="5">
        <v>45762</v>
      </c>
      <c r="DH5" s="5">
        <v>45763</v>
      </c>
      <c r="DI5" s="5">
        <v>45764</v>
      </c>
      <c r="DJ5" s="5">
        <v>45765</v>
      </c>
      <c r="DK5" s="5">
        <v>45766</v>
      </c>
      <c r="DL5" s="5">
        <v>45767</v>
      </c>
      <c r="DM5" s="5">
        <v>45768</v>
      </c>
      <c r="DN5" s="5">
        <v>45769</v>
      </c>
      <c r="DO5" s="5">
        <v>45770</v>
      </c>
      <c r="DP5" s="5">
        <v>45771</v>
      </c>
      <c r="DQ5" s="5">
        <v>45772</v>
      </c>
      <c r="DR5" s="5">
        <v>45773</v>
      </c>
      <c r="DS5" s="5">
        <v>45774</v>
      </c>
      <c r="DT5" s="5">
        <v>45775</v>
      </c>
      <c r="DU5" s="5">
        <v>45776</v>
      </c>
      <c r="DV5" s="5">
        <v>45777</v>
      </c>
      <c r="DW5" s="5">
        <v>45778</v>
      </c>
      <c r="DX5" s="5">
        <v>45779</v>
      </c>
      <c r="DY5" s="5">
        <v>45780</v>
      </c>
      <c r="DZ5" s="5">
        <v>45781</v>
      </c>
      <c r="EA5" s="5">
        <v>45782</v>
      </c>
      <c r="EB5" s="5">
        <v>45783</v>
      </c>
      <c r="EC5" s="5">
        <v>45784</v>
      </c>
      <c r="ED5" s="5">
        <v>45785</v>
      </c>
      <c r="EE5" s="5">
        <v>45786</v>
      </c>
      <c r="EF5" s="5">
        <v>45787</v>
      </c>
      <c r="EG5" s="5">
        <v>45788</v>
      </c>
      <c r="EH5" s="5">
        <v>45789</v>
      </c>
      <c r="EI5" s="5">
        <v>45790</v>
      </c>
      <c r="EJ5" s="5">
        <v>45791</v>
      </c>
      <c r="EK5" s="5">
        <v>45792</v>
      </c>
      <c r="EL5" s="5">
        <v>45793</v>
      </c>
      <c r="EM5" s="5">
        <v>45794</v>
      </c>
      <c r="EN5" s="5">
        <v>45795</v>
      </c>
      <c r="EO5" s="5">
        <v>45796</v>
      </c>
      <c r="EP5" s="5">
        <v>45797</v>
      </c>
      <c r="EQ5" s="5">
        <v>45798</v>
      </c>
      <c r="ER5" s="5">
        <v>45799</v>
      </c>
      <c r="ES5" s="5">
        <v>45800</v>
      </c>
      <c r="ET5" s="5">
        <v>45801</v>
      </c>
      <c r="EU5" s="5">
        <v>45802</v>
      </c>
      <c r="EV5" s="5">
        <v>45803</v>
      </c>
      <c r="EW5" s="5">
        <v>45804</v>
      </c>
      <c r="EX5" s="5">
        <v>45805</v>
      </c>
      <c r="EY5" s="5">
        <v>45806</v>
      </c>
      <c r="EZ5" s="5">
        <v>45807</v>
      </c>
      <c r="FA5" s="5">
        <v>45808</v>
      </c>
      <c r="FB5" s="5">
        <v>45809</v>
      </c>
      <c r="FC5" s="5">
        <v>45810</v>
      </c>
      <c r="FD5" s="5">
        <v>45811</v>
      </c>
      <c r="FE5" s="5">
        <v>45812</v>
      </c>
      <c r="FF5" s="5">
        <v>45813</v>
      </c>
      <c r="FG5" s="5">
        <v>45814</v>
      </c>
      <c r="FH5" s="5">
        <v>45815</v>
      </c>
      <c r="FI5" s="5">
        <v>45816</v>
      </c>
      <c r="FJ5" s="5">
        <v>45817</v>
      </c>
      <c r="FK5" s="5">
        <v>45818</v>
      </c>
      <c r="FL5" s="5">
        <v>45819</v>
      </c>
      <c r="FM5" s="5">
        <v>45820</v>
      </c>
      <c r="FN5" s="5">
        <v>45821</v>
      </c>
      <c r="FO5" s="5">
        <v>45822</v>
      </c>
      <c r="FP5" s="5">
        <v>45823</v>
      </c>
      <c r="FQ5" s="5">
        <v>45824</v>
      </c>
      <c r="FR5" s="5">
        <v>45825</v>
      </c>
      <c r="FS5" s="5">
        <v>45826</v>
      </c>
      <c r="FT5" s="5">
        <v>45827</v>
      </c>
      <c r="FU5" s="5">
        <v>45828</v>
      </c>
      <c r="FV5" s="5">
        <v>45829</v>
      </c>
      <c r="FW5" s="5">
        <v>45830</v>
      </c>
      <c r="FX5" s="5">
        <v>45831</v>
      </c>
      <c r="FY5" s="5">
        <v>45832</v>
      </c>
      <c r="FZ5" s="5">
        <v>45833</v>
      </c>
      <c r="GA5" s="5">
        <v>45834</v>
      </c>
      <c r="GB5" s="5">
        <v>45835</v>
      </c>
      <c r="GC5" s="5">
        <v>45836</v>
      </c>
      <c r="GD5" s="5">
        <v>45837</v>
      </c>
      <c r="GE5" s="5">
        <v>45838</v>
      </c>
      <c r="GF5" s="5">
        <v>45839</v>
      </c>
      <c r="GG5" s="5">
        <v>45840</v>
      </c>
      <c r="GH5" s="5">
        <v>45841</v>
      </c>
      <c r="GI5" s="5">
        <v>45842</v>
      </c>
      <c r="GJ5" s="5">
        <v>45843</v>
      </c>
      <c r="GK5" s="5">
        <v>45844</v>
      </c>
      <c r="GL5" s="5">
        <v>45845</v>
      </c>
      <c r="GM5" s="5">
        <v>45846</v>
      </c>
      <c r="GN5" s="5">
        <v>45847</v>
      </c>
      <c r="GO5" s="5">
        <v>45848</v>
      </c>
      <c r="GP5" s="5">
        <v>45849</v>
      </c>
      <c r="GQ5" s="5">
        <v>45850</v>
      </c>
      <c r="GR5" s="5">
        <v>45851</v>
      </c>
      <c r="GS5" s="5">
        <v>45852</v>
      </c>
      <c r="GT5" s="5">
        <v>45853</v>
      </c>
      <c r="GU5" s="5">
        <v>45854</v>
      </c>
      <c r="GV5" s="5">
        <v>45855</v>
      </c>
      <c r="GW5" s="5">
        <v>45856</v>
      </c>
      <c r="GX5" s="5">
        <v>45857</v>
      </c>
      <c r="GY5" s="5">
        <v>45858</v>
      </c>
      <c r="GZ5" s="5">
        <v>45859</v>
      </c>
      <c r="HA5" s="5">
        <v>45860</v>
      </c>
      <c r="HB5" s="5">
        <v>45861</v>
      </c>
      <c r="HC5" s="5">
        <v>45862</v>
      </c>
      <c r="HD5" s="5">
        <v>45863</v>
      </c>
      <c r="HE5" s="5">
        <v>45864</v>
      </c>
      <c r="HF5" s="5">
        <v>45865</v>
      </c>
      <c r="HG5" s="5">
        <v>45866</v>
      </c>
      <c r="HH5" s="5">
        <v>45867</v>
      </c>
      <c r="HI5" s="5">
        <v>45868</v>
      </c>
      <c r="HJ5" s="5">
        <v>45869</v>
      </c>
      <c r="HK5" s="5">
        <v>45870</v>
      </c>
      <c r="HL5" s="5">
        <v>45871</v>
      </c>
      <c r="HM5" s="5">
        <v>45872</v>
      </c>
      <c r="HN5" s="5">
        <v>45873</v>
      </c>
      <c r="HO5" s="5">
        <v>45874</v>
      </c>
      <c r="HP5" s="5">
        <v>45875</v>
      </c>
      <c r="HQ5" s="5">
        <v>45876</v>
      </c>
      <c r="HR5" s="5">
        <v>45877</v>
      </c>
      <c r="HS5" s="5">
        <v>45878</v>
      </c>
      <c r="HT5" s="5">
        <v>45879</v>
      </c>
      <c r="HU5" s="5">
        <v>45880</v>
      </c>
      <c r="HV5" s="5">
        <v>45881</v>
      </c>
      <c r="HW5" s="5">
        <v>45882</v>
      </c>
      <c r="HX5" s="5">
        <v>45883</v>
      </c>
      <c r="HY5" s="5">
        <v>45884</v>
      </c>
      <c r="HZ5" s="5">
        <v>45885</v>
      </c>
      <c r="IA5" s="5">
        <v>45886</v>
      </c>
      <c r="IB5" s="5">
        <v>45887</v>
      </c>
      <c r="IC5" s="5">
        <v>45888</v>
      </c>
      <c r="ID5" s="5">
        <v>45889</v>
      </c>
      <c r="IE5" s="5">
        <v>45890</v>
      </c>
      <c r="IF5" s="5">
        <v>45891</v>
      </c>
      <c r="IG5" s="5">
        <v>45892</v>
      </c>
      <c r="IH5" s="5">
        <v>45893</v>
      </c>
      <c r="II5" s="5">
        <v>45894</v>
      </c>
      <c r="IJ5" s="5">
        <v>45895</v>
      </c>
      <c r="IK5" s="5">
        <v>45896</v>
      </c>
      <c r="IL5" s="5">
        <v>45897</v>
      </c>
      <c r="IM5" s="5">
        <v>45898</v>
      </c>
      <c r="IN5" s="5">
        <v>45899</v>
      </c>
      <c r="IO5" s="5">
        <v>45900</v>
      </c>
      <c r="IP5" s="5">
        <v>45901</v>
      </c>
      <c r="IQ5" s="5">
        <v>45902</v>
      </c>
      <c r="IR5" s="5">
        <v>45903</v>
      </c>
      <c r="IS5" s="5">
        <v>45904</v>
      </c>
      <c r="IT5" s="5">
        <v>45905</v>
      </c>
      <c r="IU5" s="5">
        <v>45906</v>
      </c>
      <c r="IV5" s="5">
        <v>45907</v>
      </c>
      <c r="IW5" s="5">
        <v>45908</v>
      </c>
      <c r="IX5" s="5">
        <v>45909</v>
      </c>
      <c r="IY5" s="5">
        <v>45910</v>
      </c>
      <c r="IZ5" s="5">
        <v>45911</v>
      </c>
      <c r="JA5" s="5">
        <v>45912</v>
      </c>
      <c r="JB5" s="5">
        <v>45913</v>
      </c>
      <c r="JC5" s="5">
        <v>45914</v>
      </c>
      <c r="JD5" s="5">
        <v>45915</v>
      </c>
      <c r="JE5" s="5">
        <v>45916</v>
      </c>
      <c r="JF5" s="5">
        <v>45917</v>
      </c>
      <c r="JG5" s="5">
        <v>45918</v>
      </c>
      <c r="JH5" s="5">
        <v>45919</v>
      </c>
      <c r="JI5" s="5">
        <v>45920</v>
      </c>
      <c r="JJ5" s="5">
        <v>45921</v>
      </c>
      <c r="JK5" s="5">
        <v>45922</v>
      </c>
      <c r="JL5" s="5">
        <v>45923</v>
      </c>
      <c r="JM5" s="5">
        <v>45924</v>
      </c>
      <c r="JN5" s="5">
        <v>45925</v>
      </c>
      <c r="JO5" s="5">
        <v>45926</v>
      </c>
      <c r="JP5" s="5">
        <v>45927</v>
      </c>
      <c r="JQ5" s="5">
        <v>45928</v>
      </c>
      <c r="JR5" s="5">
        <v>45929</v>
      </c>
      <c r="JS5" s="5">
        <v>45930</v>
      </c>
      <c r="JT5" s="5">
        <v>45931</v>
      </c>
      <c r="JU5" s="5">
        <v>45932</v>
      </c>
      <c r="JV5" s="5">
        <v>45933</v>
      </c>
      <c r="JW5" s="5">
        <v>45934</v>
      </c>
      <c r="JX5" s="5">
        <v>45935</v>
      </c>
      <c r="JY5" s="5">
        <v>45936</v>
      </c>
      <c r="JZ5" s="5">
        <v>45937</v>
      </c>
      <c r="KA5" s="5">
        <v>45938</v>
      </c>
      <c r="KB5" s="5">
        <v>45939</v>
      </c>
      <c r="KC5" s="5">
        <v>45940</v>
      </c>
      <c r="KD5" s="5">
        <v>45941</v>
      </c>
      <c r="KE5" s="5">
        <v>45942</v>
      </c>
      <c r="KF5" s="5">
        <v>45943</v>
      </c>
      <c r="KG5" s="5">
        <v>45944</v>
      </c>
      <c r="KH5" s="5">
        <v>45945</v>
      </c>
      <c r="KI5" s="5">
        <v>45946</v>
      </c>
      <c r="KJ5" s="5">
        <v>45947</v>
      </c>
      <c r="KK5" s="5">
        <v>45948</v>
      </c>
      <c r="KL5" s="5">
        <v>45949</v>
      </c>
      <c r="KM5" s="5">
        <v>45950</v>
      </c>
      <c r="KN5" s="5">
        <v>45951</v>
      </c>
      <c r="KO5" s="5">
        <v>45952</v>
      </c>
      <c r="KP5" s="5">
        <v>45953</v>
      </c>
      <c r="KQ5" s="5">
        <v>45954</v>
      </c>
      <c r="KR5" s="5">
        <v>45955</v>
      </c>
      <c r="KS5" s="5">
        <v>45956</v>
      </c>
      <c r="KT5" s="5">
        <v>45957</v>
      </c>
      <c r="KU5" s="5">
        <v>45958</v>
      </c>
      <c r="KV5" s="5">
        <v>45959</v>
      </c>
      <c r="KW5" s="5">
        <v>45960</v>
      </c>
      <c r="KX5" s="5">
        <v>45961</v>
      </c>
      <c r="KY5" s="5">
        <v>45962</v>
      </c>
      <c r="KZ5" s="5">
        <v>45963</v>
      </c>
      <c r="LA5" s="5">
        <v>45964</v>
      </c>
      <c r="LB5" s="5">
        <v>45965</v>
      </c>
      <c r="LC5" s="5">
        <v>45966</v>
      </c>
      <c r="LD5" s="5">
        <v>45967</v>
      </c>
      <c r="LE5" s="5">
        <v>45968</v>
      </c>
      <c r="LF5" s="5">
        <v>45969</v>
      </c>
      <c r="LG5" s="5">
        <v>45970</v>
      </c>
      <c r="LH5" s="5">
        <v>45971</v>
      </c>
      <c r="LI5" s="5">
        <v>45972</v>
      </c>
      <c r="LJ5" s="5">
        <v>45973</v>
      </c>
      <c r="LK5" s="5">
        <v>45974</v>
      </c>
      <c r="LL5" s="5">
        <v>45975</v>
      </c>
      <c r="LM5" s="5">
        <v>45976</v>
      </c>
      <c r="LN5" s="5">
        <v>45977</v>
      </c>
      <c r="LO5" s="5">
        <v>45978</v>
      </c>
      <c r="LP5" s="5">
        <v>45979</v>
      </c>
      <c r="LQ5" s="5">
        <v>45980</v>
      </c>
      <c r="LR5" s="5">
        <v>45981</v>
      </c>
      <c r="LS5" s="5">
        <v>45982</v>
      </c>
      <c r="LT5" s="5">
        <v>45983</v>
      </c>
      <c r="LU5" s="5">
        <v>45984</v>
      </c>
      <c r="LV5" s="5">
        <v>45985</v>
      </c>
      <c r="LW5" s="5">
        <v>45986</v>
      </c>
      <c r="LX5" s="5">
        <v>45987</v>
      </c>
      <c r="LY5" s="5">
        <v>45988</v>
      </c>
      <c r="LZ5" s="5">
        <v>45989</v>
      </c>
      <c r="MA5" s="5">
        <v>45990</v>
      </c>
      <c r="MB5" s="5">
        <v>45991</v>
      </c>
      <c r="MC5" s="5">
        <v>45992</v>
      </c>
      <c r="MD5" s="5">
        <v>45993</v>
      </c>
      <c r="ME5" s="5">
        <v>45994</v>
      </c>
      <c r="MF5" s="5">
        <v>45995</v>
      </c>
      <c r="MG5" s="5">
        <v>45996</v>
      </c>
      <c r="MH5" s="5">
        <v>45997</v>
      </c>
      <c r="MI5" s="5">
        <v>45998</v>
      </c>
      <c r="MJ5" s="5">
        <v>45999</v>
      </c>
      <c r="MK5" s="5">
        <v>46000</v>
      </c>
      <c r="ML5" s="5">
        <v>46001</v>
      </c>
      <c r="MM5" s="5">
        <v>46002</v>
      </c>
      <c r="MN5" s="5">
        <v>46003</v>
      </c>
      <c r="MO5" s="5">
        <v>46004</v>
      </c>
      <c r="MP5" s="5">
        <v>46005</v>
      </c>
      <c r="MQ5" s="5">
        <v>46006</v>
      </c>
      <c r="MR5" s="5">
        <v>46007</v>
      </c>
      <c r="MS5" s="5">
        <v>46008</v>
      </c>
      <c r="MT5" s="5">
        <v>46009</v>
      </c>
      <c r="MU5" s="5">
        <v>46010</v>
      </c>
      <c r="MV5" s="5">
        <v>46011</v>
      </c>
      <c r="MW5" s="5">
        <v>46012</v>
      </c>
      <c r="MX5" s="5">
        <v>46013</v>
      </c>
      <c r="MY5" s="5">
        <v>46014</v>
      </c>
      <c r="MZ5" s="5">
        <v>46015</v>
      </c>
      <c r="NA5" s="5">
        <v>46016</v>
      </c>
      <c r="NB5" s="5">
        <v>46017</v>
      </c>
      <c r="NC5" s="5">
        <v>46018</v>
      </c>
      <c r="ND5" s="5">
        <v>46019</v>
      </c>
      <c r="NE5" s="5">
        <v>46020</v>
      </c>
      <c r="NF5" s="5">
        <v>46021</v>
      </c>
      <c r="NG5" s="5">
        <v>46022</v>
      </c>
      <c r="NH5" s="1"/>
    </row>
    <row r="6" spans="1:372">
      <c r="A6" s="3"/>
      <c r="B6" s="6" t="s">
        <v>18</v>
      </c>
      <c r="C6" s="6" t="s">
        <v>19</v>
      </c>
      <c r="D6" s="7">
        <v>45901</v>
      </c>
      <c r="E6" s="7">
        <v>45954</v>
      </c>
      <c r="F6" s="8">
        <v>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9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9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9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0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0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0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0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0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0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0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0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9"/>
      <c r="NH6" s="1"/>
    </row>
    <row r="7" spans="1:372">
      <c r="A7" s="11"/>
      <c r="B7" s="12"/>
      <c r="C7" s="13" t="s">
        <v>20</v>
      </c>
      <c r="D7" s="14">
        <v>45902</v>
      </c>
      <c r="E7" s="15">
        <v>45903</v>
      </c>
      <c r="F7" s="16">
        <f t="shared" ref="F7:F11" si="0">E7/D7</f>
        <v>1.0000217855431135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8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8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9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9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9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9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9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20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9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9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9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8"/>
      <c r="NH7" s="21"/>
    </row>
    <row r="8" spans="1:372">
      <c r="A8" s="11"/>
      <c r="B8" s="12"/>
      <c r="C8" s="13" t="s">
        <v>21</v>
      </c>
      <c r="D8" s="14">
        <v>45916</v>
      </c>
      <c r="E8" s="15">
        <v>45916</v>
      </c>
      <c r="F8" s="16">
        <f t="shared" si="0"/>
        <v>1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8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8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9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9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9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9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9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22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9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9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9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  <c r="MT8" s="17"/>
      <c r="MU8" s="17"/>
      <c r="MV8" s="17"/>
      <c r="MW8" s="17"/>
      <c r="MX8" s="17"/>
      <c r="MY8" s="17"/>
      <c r="MZ8" s="17"/>
      <c r="NA8" s="17"/>
      <c r="NB8" s="17"/>
      <c r="NC8" s="17"/>
      <c r="ND8" s="17"/>
      <c r="NE8" s="17"/>
      <c r="NF8" s="17"/>
      <c r="NG8" s="18"/>
      <c r="NH8" s="21"/>
    </row>
    <row r="9" spans="1:372">
      <c r="A9" s="11"/>
      <c r="B9" s="12"/>
      <c r="C9" s="13" t="s">
        <v>22</v>
      </c>
      <c r="D9" s="14">
        <v>45916</v>
      </c>
      <c r="E9" s="15">
        <v>45916</v>
      </c>
      <c r="F9" s="16">
        <f t="shared" si="0"/>
        <v>1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8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8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9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9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9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9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9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22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9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9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9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8"/>
      <c r="NH9" s="21"/>
    </row>
    <row r="10" spans="1:372">
      <c r="A10" s="11"/>
      <c r="B10" s="12"/>
      <c r="C10" s="23" t="s">
        <v>23</v>
      </c>
      <c r="D10" s="14">
        <v>45916</v>
      </c>
      <c r="E10" s="15">
        <v>45916</v>
      </c>
      <c r="F10" s="16">
        <f t="shared" si="0"/>
        <v>1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8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8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9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9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9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9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9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20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9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9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9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8"/>
      <c r="NH10" s="21"/>
    </row>
    <row r="11" spans="1:372">
      <c r="A11" s="11"/>
      <c r="B11" s="12"/>
      <c r="C11" s="13" t="s">
        <v>24</v>
      </c>
      <c r="D11" s="14">
        <v>45916</v>
      </c>
      <c r="E11" s="15">
        <v>45918</v>
      </c>
      <c r="F11" s="16">
        <f t="shared" si="0"/>
        <v>1.0000435578012021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8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8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8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9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9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9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9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9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9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9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9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  <c r="NG11" s="18"/>
      <c r="NH11" s="21"/>
    </row>
    <row r="12" spans="1:372">
      <c r="A12" s="11"/>
      <c r="B12" s="12"/>
      <c r="C12" s="13" t="s">
        <v>25</v>
      </c>
      <c r="D12" s="14">
        <v>45923</v>
      </c>
      <c r="E12" s="15">
        <v>45930</v>
      </c>
      <c r="F12" s="16">
        <v>0.6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8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8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8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9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9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9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9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9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9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9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9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8"/>
      <c r="NH12" s="21"/>
    </row>
    <row r="13" spans="1:372">
      <c r="A13" s="11"/>
      <c r="B13" s="12"/>
      <c r="C13" s="13" t="s">
        <v>26</v>
      </c>
      <c r="D13" s="14">
        <v>45916</v>
      </c>
      <c r="E13" s="15">
        <v>45916</v>
      </c>
      <c r="F13" s="16">
        <f t="shared" ref="F13:F16" si="1">E13/D13</f>
        <v>1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8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8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8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9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9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9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9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9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9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9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9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  <c r="NE13" s="17"/>
      <c r="NF13" s="17"/>
      <c r="NG13" s="18"/>
      <c r="NH13" s="21"/>
    </row>
    <row r="14" spans="1:372">
      <c r="A14" s="11"/>
      <c r="B14" s="12"/>
      <c r="C14" s="13" t="s">
        <v>27</v>
      </c>
      <c r="D14" s="14">
        <v>45916</v>
      </c>
      <c r="E14" s="14">
        <v>45917</v>
      </c>
      <c r="F14" s="16">
        <f t="shared" si="1"/>
        <v>1.0000217789006012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8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8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8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9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9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9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9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9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9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9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9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8"/>
      <c r="NH14" s="21"/>
    </row>
    <row r="15" spans="1:372">
      <c r="A15" s="11"/>
      <c r="B15" s="12"/>
      <c r="C15" s="13" t="s">
        <v>28</v>
      </c>
      <c r="D15" s="14">
        <v>45917</v>
      </c>
      <c r="E15" s="14">
        <v>45942</v>
      </c>
      <c r="F15" s="16">
        <f t="shared" si="1"/>
        <v>1.0005444606572729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8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8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8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9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9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9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9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9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9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9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9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8"/>
      <c r="NH15" s="21"/>
    </row>
    <row r="16" spans="1:372">
      <c r="A16" s="11"/>
      <c r="B16" s="12"/>
      <c r="C16" s="13" t="s">
        <v>29</v>
      </c>
      <c r="D16" s="14">
        <v>45917</v>
      </c>
      <c r="E16" s="14">
        <v>45917</v>
      </c>
      <c r="F16" s="16">
        <f t="shared" si="1"/>
        <v>1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8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8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8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9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9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9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9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9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9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9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9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8"/>
      <c r="NH16" s="21"/>
    </row>
    <row r="17" spans="1:372">
      <c r="A17" s="11"/>
      <c r="B17" s="12"/>
      <c r="C17" s="13" t="s">
        <v>30</v>
      </c>
      <c r="D17" s="14">
        <v>45922</v>
      </c>
      <c r="E17" s="15">
        <v>45923</v>
      </c>
      <c r="F17" s="24">
        <v>1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8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8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8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9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9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9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9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9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9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9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9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8"/>
      <c r="NH17" s="21"/>
    </row>
    <row r="18" spans="1:372">
      <c r="A18" s="25"/>
      <c r="B18" s="26"/>
      <c r="C18" s="25" t="s">
        <v>31</v>
      </c>
      <c r="D18" s="27">
        <v>45923</v>
      </c>
      <c r="E18" s="28">
        <v>45930</v>
      </c>
      <c r="F18" s="29">
        <v>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9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9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9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0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0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0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0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0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0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0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0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9"/>
      <c r="NH18" s="1"/>
    </row>
    <row r="19" spans="1:372">
      <c r="A19" s="1"/>
      <c r="B19" s="26"/>
      <c r="C19" s="23" t="s">
        <v>32</v>
      </c>
      <c r="D19" s="27">
        <v>45923</v>
      </c>
      <c r="E19" s="28">
        <v>45925</v>
      </c>
      <c r="F19" s="29">
        <v>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9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9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9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0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0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0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0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0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0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0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0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9"/>
      <c r="NH19" s="1"/>
    </row>
    <row r="20" spans="1:372">
      <c r="A20" s="1"/>
      <c r="B20" s="26"/>
      <c r="C20" s="23" t="s">
        <v>33</v>
      </c>
      <c r="D20" s="27">
        <v>45931</v>
      </c>
      <c r="E20" s="30">
        <v>45933</v>
      </c>
      <c r="F20" s="31">
        <v>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9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9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9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0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0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0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0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0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0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0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0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9"/>
      <c r="NH20" s="1"/>
    </row>
    <row r="21" spans="1:372">
      <c r="A21" s="1"/>
      <c r="B21" s="26"/>
      <c r="C21" s="23" t="s">
        <v>34</v>
      </c>
      <c r="D21" s="27">
        <v>45932</v>
      </c>
      <c r="E21" s="30">
        <v>45935</v>
      </c>
      <c r="F21" s="31">
        <v>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9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9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9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0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0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0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0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0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0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0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0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9"/>
      <c r="NH21" s="1"/>
    </row>
    <row r="22" spans="1:372">
      <c r="A22" s="1"/>
      <c r="B22" s="26"/>
      <c r="C22" s="25" t="s">
        <v>35</v>
      </c>
      <c r="D22" s="27">
        <v>45936</v>
      </c>
      <c r="E22" s="30">
        <v>45947</v>
      </c>
      <c r="F22" s="31">
        <v>0.8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9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9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9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0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0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0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0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0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0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0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0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9"/>
      <c r="NH22" s="1"/>
    </row>
    <row r="23" spans="1:372">
      <c r="A23" s="1"/>
      <c r="B23" s="26"/>
      <c r="C23" s="25" t="s">
        <v>36</v>
      </c>
      <c r="D23" s="27">
        <v>45936</v>
      </c>
      <c r="E23" s="30">
        <v>45947</v>
      </c>
      <c r="F23" s="31">
        <v>0.8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9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9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9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0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0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0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0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0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0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0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0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9"/>
      <c r="NH23" s="1"/>
    </row>
    <row r="24" spans="1:372">
      <c r="A24" s="1"/>
      <c r="B24" s="26"/>
      <c r="C24" s="25" t="s">
        <v>37</v>
      </c>
      <c r="D24" s="27">
        <v>45901</v>
      </c>
      <c r="E24" s="30">
        <v>45954</v>
      </c>
      <c r="F24" s="31">
        <v>0.6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9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9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9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0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0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0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0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0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0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0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0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9"/>
      <c r="NH24" s="1"/>
    </row>
    <row r="25" spans="1:372">
      <c r="A25" s="1"/>
      <c r="B25" s="26"/>
      <c r="C25" s="25" t="s">
        <v>38</v>
      </c>
      <c r="D25" s="27">
        <v>45938</v>
      </c>
      <c r="E25" s="30">
        <v>45948</v>
      </c>
      <c r="F25" s="31">
        <v>0.8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9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9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9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0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0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0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0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0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0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0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0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9"/>
      <c r="NH25" s="1"/>
    </row>
    <row r="26" spans="1:372">
      <c r="A26" s="25"/>
      <c r="B26" s="25"/>
      <c r="C26" s="25" t="s">
        <v>39</v>
      </c>
      <c r="D26" s="27">
        <v>45944</v>
      </c>
      <c r="E26" s="32">
        <v>45944</v>
      </c>
      <c r="F26" s="31">
        <v>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9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9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9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0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0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0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0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0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0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0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0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9"/>
      <c r="NH26" s="1"/>
    </row>
    <row r="27" spans="1:372">
      <c r="A27" s="3"/>
      <c r="B27" s="25"/>
      <c r="C27" s="25" t="s">
        <v>40</v>
      </c>
      <c r="D27" s="27">
        <v>45943</v>
      </c>
      <c r="E27" s="32">
        <v>45950</v>
      </c>
      <c r="F27" s="31">
        <v>0.1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9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9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9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0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0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0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0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0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0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0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0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9"/>
      <c r="NH27" s="1"/>
    </row>
    <row r="28" spans="1:372">
      <c r="A28" s="3"/>
      <c r="B28" s="25"/>
      <c r="C28" s="25" t="s">
        <v>41</v>
      </c>
      <c r="D28" s="27">
        <v>45948</v>
      </c>
      <c r="E28" s="32">
        <v>45950</v>
      </c>
      <c r="F28" s="31">
        <v>0.1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9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9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9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0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0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0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0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0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0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0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0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9"/>
      <c r="NH28" s="1"/>
    </row>
    <row r="29" spans="1:372" ht="13.2">
      <c r="A29" s="3"/>
      <c r="B29" s="25"/>
      <c r="C29" s="33"/>
      <c r="D29" s="34"/>
      <c r="E29" s="35"/>
      <c r="F29" s="3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9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9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9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0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0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0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0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0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0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0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0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9"/>
      <c r="NH29" s="1"/>
    </row>
    <row r="30" spans="1:372" ht="13.2">
      <c r="A30" s="3"/>
      <c r="B30" s="25"/>
      <c r="C30" s="25"/>
      <c r="D30" s="27"/>
      <c r="E30" s="30"/>
      <c r="F30" s="3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9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9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9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0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0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0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0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0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0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0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0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9"/>
      <c r="NH30" s="1"/>
    </row>
    <row r="31" spans="1:372" ht="13.2">
      <c r="A31" s="3"/>
      <c r="B31" s="25"/>
      <c r="C31" s="25"/>
      <c r="D31" s="27"/>
      <c r="E31" s="30"/>
      <c r="F31" s="2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9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9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9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0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0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0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0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0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0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0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0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9"/>
      <c r="NH31" s="1"/>
    </row>
    <row r="32" spans="1:372" ht="13.2">
      <c r="A32" s="3"/>
      <c r="B32" s="25"/>
      <c r="C32" s="25"/>
      <c r="D32" s="37"/>
      <c r="E32" s="25"/>
      <c r="F32" s="2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9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9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9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0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0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0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0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0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0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0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0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9"/>
      <c r="NH32" s="1"/>
    </row>
    <row r="33" spans="1:372" ht="13.2">
      <c r="A33" s="25"/>
      <c r="B33" s="25"/>
      <c r="C33" s="38"/>
      <c r="D33" s="27"/>
      <c r="E33" s="25"/>
      <c r="F33" s="2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9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9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9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0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0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0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0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0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0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0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0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9"/>
      <c r="NH33" s="1"/>
    </row>
    <row r="34" spans="1:372" ht="13.2">
      <c r="A34" s="3"/>
      <c r="B34" s="25"/>
      <c r="C34" s="25"/>
      <c r="D34" s="27"/>
      <c r="E34" s="25"/>
      <c r="F34" s="2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9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9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9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0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0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0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0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0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0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0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0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9"/>
      <c r="NH34" s="1"/>
    </row>
    <row r="35" spans="1:372" ht="13.2">
      <c r="A35" s="3"/>
      <c r="B35" s="25"/>
      <c r="C35" s="25"/>
      <c r="D35" s="27"/>
      <c r="E35" s="25"/>
      <c r="F35" s="2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9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9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9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0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0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0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0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0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0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0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0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9"/>
      <c r="NH35" s="1"/>
    </row>
    <row r="36" spans="1:372" ht="13.2">
      <c r="A36" s="11"/>
      <c r="B36" s="39" t="s">
        <v>42</v>
      </c>
      <c r="C36" s="39" t="s">
        <v>43</v>
      </c>
      <c r="D36" s="40">
        <f t="array" aca="1" ref="D36" ca="1">MIN(INDIRECT(CONCATENATE("D",MATCH($B6,$B$1:$B115,0)+1,":","D",MATCH(TRUE,INDEX(($B7:$B115&lt;&gt;0),0),0)-1+MATCH($B6,$B$1:$B115,0))))</f>
        <v>45901</v>
      </c>
      <c r="E36" s="41">
        <f t="array" aca="1" ref="E36" ca="1">MAX(INDIRECT(CONCATENATE("E",MATCH($B6,$B$1:$B115,0)+1,":","E",MATCH(TRUE,INDEX(($B7:$B115&lt;&gt;0),0),0)-1+MATCH($B6,$B$1:$B115,0))))</f>
        <v>45954</v>
      </c>
      <c r="F36" s="3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9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9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9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0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0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0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0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0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0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0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0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9"/>
      <c r="NH36" s="1"/>
    </row>
    <row r="37" spans="1:372" ht="13.2">
      <c r="A37" s="11"/>
      <c r="B37" s="12"/>
      <c r="C37" s="13" t="s">
        <v>44</v>
      </c>
      <c r="D37" s="42">
        <v>45916</v>
      </c>
      <c r="E37" s="32">
        <v>45917</v>
      </c>
      <c r="F37" s="16">
        <v>1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8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8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8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9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9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9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9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9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9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9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9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8"/>
      <c r="NH37" s="21"/>
    </row>
    <row r="38" spans="1:372" ht="13.2">
      <c r="A38" s="11"/>
      <c r="B38" s="12"/>
      <c r="C38" s="13" t="s">
        <v>45</v>
      </c>
      <c r="D38" s="42">
        <v>45916</v>
      </c>
      <c r="E38" s="32">
        <v>45917</v>
      </c>
      <c r="F38" s="16">
        <v>1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8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8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8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9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9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7"/>
      <c r="GB38" s="17"/>
      <c r="GC38" s="17"/>
      <c r="GD38" s="17"/>
      <c r="GE38" s="17"/>
      <c r="GF38" s="19"/>
      <c r="GG38" s="17"/>
      <c r="GH38" s="17"/>
      <c r="GI38" s="17"/>
      <c r="GJ38" s="17"/>
      <c r="GK38" s="17"/>
      <c r="GL38" s="17"/>
      <c r="GM38" s="17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7"/>
      <c r="GY38" s="17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7"/>
      <c r="HK38" s="19"/>
      <c r="HL38" s="17"/>
      <c r="HM38" s="17"/>
      <c r="HN38" s="17"/>
      <c r="HO38" s="17"/>
      <c r="HP38" s="17"/>
      <c r="HQ38" s="17"/>
      <c r="HR38" s="17"/>
      <c r="HS38" s="17"/>
      <c r="HT38" s="17"/>
      <c r="HU38" s="17"/>
      <c r="HV38" s="17"/>
      <c r="HW38" s="17"/>
      <c r="HX38" s="17"/>
      <c r="HY38" s="17"/>
      <c r="HZ38" s="17"/>
      <c r="IA38" s="17"/>
      <c r="IB38" s="17"/>
      <c r="IC38" s="17"/>
      <c r="ID38" s="17"/>
      <c r="IE38" s="17"/>
      <c r="IF38" s="17"/>
      <c r="IG38" s="17"/>
      <c r="IH38" s="17"/>
      <c r="II38" s="17"/>
      <c r="IJ38" s="17"/>
      <c r="IK38" s="17"/>
      <c r="IL38" s="17"/>
      <c r="IM38" s="17"/>
      <c r="IN38" s="17"/>
      <c r="IO38" s="17"/>
      <c r="IP38" s="19"/>
      <c r="IQ38" s="17"/>
      <c r="IR38" s="17"/>
      <c r="IS38" s="17"/>
      <c r="IT38" s="17"/>
      <c r="IU38" s="17"/>
      <c r="IV38" s="17"/>
      <c r="IW38" s="17"/>
      <c r="IX38" s="17"/>
      <c r="IY38" s="17"/>
      <c r="IZ38" s="17"/>
      <c r="JA38" s="17"/>
      <c r="JB38" s="17"/>
      <c r="JC38" s="17"/>
      <c r="JD38" s="17"/>
      <c r="JE38" s="17"/>
      <c r="JF38" s="17"/>
      <c r="JG38" s="17"/>
      <c r="JH38" s="17"/>
      <c r="JI38" s="17"/>
      <c r="JJ38" s="17"/>
      <c r="JK38" s="17"/>
      <c r="JL38" s="17"/>
      <c r="JM38" s="17"/>
      <c r="JN38" s="17"/>
      <c r="JO38" s="17"/>
      <c r="JP38" s="17"/>
      <c r="JQ38" s="17"/>
      <c r="JR38" s="17"/>
      <c r="JS38" s="17"/>
      <c r="JT38" s="19"/>
      <c r="JU38" s="17"/>
      <c r="JV38" s="17"/>
      <c r="JW38" s="17"/>
      <c r="JX38" s="17"/>
      <c r="JY38" s="17"/>
      <c r="JZ38" s="17"/>
      <c r="KA38" s="17"/>
      <c r="KB38" s="17"/>
      <c r="KC38" s="17"/>
      <c r="KD38" s="17"/>
      <c r="KE38" s="17"/>
      <c r="KF38" s="17"/>
      <c r="KG38" s="17"/>
      <c r="KH38" s="17"/>
      <c r="KI38" s="17"/>
      <c r="KJ38" s="17"/>
      <c r="KK38" s="17"/>
      <c r="KL38" s="17"/>
      <c r="KM38" s="17"/>
      <c r="KN38" s="17"/>
      <c r="KO38" s="17"/>
      <c r="KP38" s="17"/>
      <c r="KQ38" s="17"/>
      <c r="KR38" s="17"/>
      <c r="KS38" s="17"/>
      <c r="KT38" s="17"/>
      <c r="KU38" s="17"/>
      <c r="KV38" s="17"/>
      <c r="KW38" s="17"/>
      <c r="KX38" s="17"/>
      <c r="KY38" s="19"/>
      <c r="KZ38" s="17"/>
      <c r="LA38" s="17"/>
      <c r="LB38" s="17"/>
      <c r="LC38" s="17"/>
      <c r="LD38" s="17"/>
      <c r="LE38" s="17"/>
      <c r="LF38" s="17"/>
      <c r="LG38" s="17"/>
      <c r="LH38" s="17"/>
      <c r="LI38" s="17"/>
      <c r="LJ38" s="17"/>
      <c r="LK38" s="17"/>
      <c r="LL38" s="17"/>
      <c r="LM38" s="17"/>
      <c r="LN38" s="17"/>
      <c r="LO38" s="17"/>
      <c r="LP38" s="17"/>
      <c r="LQ38" s="17"/>
      <c r="LR38" s="17"/>
      <c r="LS38" s="17"/>
      <c r="LT38" s="17"/>
      <c r="LU38" s="17"/>
      <c r="LV38" s="17"/>
      <c r="LW38" s="17"/>
      <c r="LX38" s="17"/>
      <c r="LY38" s="17"/>
      <c r="LZ38" s="17"/>
      <c r="MA38" s="17"/>
      <c r="MB38" s="17"/>
      <c r="MC38" s="19"/>
      <c r="MD38" s="17"/>
      <c r="ME38" s="17"/>
      <c r="MF38" s="17"/>
      <c r="MG38" s="17"/>
      <c r="MH38" s="17"/>
      <c r="MI38" s="17"/>
      <c r="MJ38" s="17"/>
      <c r="MK38" s="17"/>
      <c r="ML38" s="17"/>
      <c r="MM38" s="17"/>
      <c r="MN38" s="17"/>
      <c r="MO38" s="17"/>
      <c r="MP38" s="17"/>
      <c r="MQ38" s="17"/>
      <c r="MR38" s="17"/>
      <c r="MS38" s="17"/>
      <c r="MT38" s="17"/>
      <c r="MU38" s="17"/>
      <c r="MV38" s="17"/>
      <c r="MW38" s="17"/>
      <c r="MX38" s="17"/>
      <c r="MY38" s="17"/>
      <c r="MZ38" s="17"/>
      <c r="NA38" s="17"/>
      <c r="NB38" s="17"/>
      <c r="NC38" s="17"/>
      <c r="ND38" s="17"/>
      <c r="NE38" s="17"/>
      <c r="NF38" s="17"/>
      <c r="NG38" s="18"/>
      <c r="NH38" s="21"/>
    </row>
    <row r="39" spans="1:372" ht="13.2">
      <c r="A39" s="11"/>
      <c r="B39" s="12"/>
      <c r="C39" s="13" t="s">
        <v>46</v>
      </c>
      <c r="D39" s="42">
        <v>45916</v>
      </c>
      <c r="E39" s="32">
        <v>45917</v>
      </c>
      <c r="F39" s="16">
        <v>1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8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8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8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9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9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7"/>
      <c r="GB39" s="17"/>
      <c r="GC39" s="17"/>
      <c r="GD39" s="17"/>
      <c r="GE39" s="17"/>
      <c r="GF39" s="19"/>
      <c r="GG39" s="17"/>
      <c r="GH39" s="17"/>
      <c r="GI39" s="17"/>
      <c r="GJ39" s="17"/>
      <c r="GK39" s="17"/>
      <c r="GL39" s="17"/>
      <c r="GM39" s="17"/>
      <c r="GN39" s="17"/>
      <c r="GO39" s="17"/>
      <c r="GP39" s="17"/>
      <c r="GQ39" s="17"/>
      <c r="GR39" s="17"/>
      <c r="GS39" s="17"/>
      <c r="GT39" s="17"/>
      <c r="GU39" s="17"/>
      <c r="GV39" s="17"/>
      <c r="GW39" s="17"/>
      <c r="GX39" s="17"/>
      <c r="GY39" s="17"/>
      <c r="GZ39" s="17"/>
      <c r="HA39" s="17"/>
      <c r="HB39" s="17"/>
      <c r="HC39" s="17"/>
      <c r="HD39" s="17"/>
      <c r="HE39" s="17"/>
      <c r="HF39" s="17"/>
      <c r="HG39" s="17"/>
      <c r="HH39" s="17"/>
      <c r="HI39" s="17"/>
      <c r="HJ39" s="17"/>
      <c r="HK39" s="19"/>
      <c r="HL39" s="17"/>
      <c r="HM39" s="17"/>
      <c r="HN39" s="17"/>
      <c r="HO39" s="17"/>
      <c r="HP39" s="17"/>
      <c r="HQ39" s="17"/>
      <c r="HR39" s="17"/>
      <c r="HS39" s="17"/>
      <c r="HT39" s="17"/>
      <c r="HU39" s="17"/>
      <c r="HV39" s="17"/>
      <c r="HW39" s="17"/>
      <c r="HX39" s="17"/>
      <c r="HY39" s="17"/>
      <c r="HZ39" s="17"/>
      <c r="IA39" s="17"/>
      <c r="IB39" s="17"/>
      <c r="IC39" s="17"/>
      <c r="ID39" s="17"/>
      <c r="IE39" s="17"/>
      <c r="IF39" s="17"/>
      <c r="IG39" s="17"/>
      <c r="IH39" s="17"/>
      <c r="II39" s="17"/>
      <c r="IJ39" s="17"/>
      <c r="IK39" s="17"/>
      <c r="IL39" s="17"/>
      <c r="IM39" s="17"/>
      <c r="IN39" s="17"/>
      <c r="IO39" s="17"/>
      <c r="IP39" s="19"/>
      <c r="IQ39" s="17"/>
      <c r="IR39" s="17"/>
      <c r="IS39" s="17"/>
      <c r="IT39" s="17"/>
      <c r="IU39" s="17"/>
      <c r="IV39" s="17"/>
      <c r="IW39" s="17"/>
      <c r="IX39" s="17"/>
      <c r="IY39" s="17"/>
      <c r="IZ39" s="17"/>
      <c r="JA39" s="17"/>
      <c r="JB39" s="17"/>
      <c r="JC39" s="17"/>
      <c r="JD39" s="17"/>
      <c r="JE39" s="17"/>
      <c r="JF39" s="17"/>
      <c r="JG39" s="17"/>
      <c r="JH39" s="17"/>
      <c r="JI39" s="17"/>
      <c r="JJ39" s="17"/>
      <c r="JK39" s="17"/>
      <c r="JL39" s="17"/>
      <c r="JM39" s="17"/>
      <c r="JN39" s="17"/>
      <c r="JO39" s="17"/>
      <c r="JP39" s="17"/>
      <c r="JQ39" s="17"/>
      <c r="JR39" s="17"/>
      <c r="JS39" s="17"/>
      <c r="JT39" s="19"/>
      <c r="JU39" s="17"/>
      <c r="JV39" s="17"/>
      <c r="JW39" s="17"/>
      <c r="JX39" s="17"/>
      <c r="JY39" s="17"/>
      <c r="JZ39" s="17"/>
      <c r="KA39" s="17"/>
      <c r="KB39" s="17"/>
      <c r="KC39" s="17"/>
      <c r="KD39" s="17"/>
      <c r="KE39" s="17"/>
      <c r="KF39" s="17"/>
      <c r="KG39" s="17"/>
      <c r="KH39" s="17"/>
      <c r="KI39" s="17"/>
      <c r="KJ39" s="17"/>
      <c r="KK39" s="17"/>
      <c r="KL39" s="17"/>
      <c r="KM39" s="17"/>
      <c r="KN39" s="17"/>
      <c r="KO39" s="17"/>
      <c r="KP39" s="17"/>
      <c r="KQ39" s="17"/>
      <c r="KR39" s="17"/>
      <c r="KS39" s="17"/>
      <c r="KT39" s="17"/>
      <c r="KU39" s="17"/>
      <c r="KV39" s="17"/>
      <c r="KW39" s="17"/>
      <c r="KX39" s="17"/>
      <c r="KY39" s="19"/>
      <c r="KZ39" s="17"/>
      <c r="LA39" s="17"/>
      <c r="LB39" s="17"/>
      <c r="LC39" s="17"/>
      <c r="LD39" s="17"/>
      <c r="LE39" s="17"/>
      <c r="LF39" s="17"/>
      <c r="LG39" s="17"/>
      <c r="LH39" s="17"/>
      <c r="LI39" s="17"/>
      <c r="LJ39" s="17"/>
      <c r="LK39" s="17"/>
      <c r="LL39" s="17"/>
      <c r="LM39" s="17"/>
      <c r="LN39" s="17"/>
      <c r="LO39" s="17"/>
      <c r="LP39" s="17"/>
      <c r="LQ39" s="17"/>
      <c r="LR39" s="17"/>
      <c r="LS39" s="17"/>
      <c r="LT39" s="17"/>
      <c r="LU39" s="17"/>
      <c r="LV39" s="17"/>
      <c r="LW39" s="17"/>
      <c r="LX39" s="17"/>
      <c r="LY39" s="17"/>
      <c r="LZ39" s="17"/>
      <c r="MA39" s="17"/>
      <c r="MB39" s="17"/>
      <c r="MC39" s="19"/>
      <c r="MD39" s="17"/>
      <c r="ME39" s="17"/>
      <c r="MF39" s="17"/>
      <c r="MG39" s="17"/>
      <c r="MH39" s="17"/>
      <c r="MI39" s="17"/>
      <c r="MJ39" s="17"/>
      <c r="MK39" s="17"/>
      <c r="ML39" s="17"/>
      <c r="MM39" s="17"/>
      <c r="MN39" s="17"/>
      <c r="MO39" s="17"/>
      <c r="MP39" s="17"/>
      <c r="MQ39" s="17"/>
      <c r="MR39" s="17"/>
      <c r="MS39" s="17"/>
      <c r="MT39" s="17"/>
      <c r="MU39" s="17"/>
      <c r="MV39" s="17"/>
      <c r="MW39" s="17"/>
      <c r="MX39" s="17"/>
      <c r="MY39" s="17"/>
      <c r="MZ39" s="17"/>
      <c r="NA39" s="17"/>
      <c r="NB39" s="17"/>
      <c r="NC39" s="17"/>
      <c r="ND39" s="17"/>
      <c r="NE39" s="17"/>
      <c r="NF39" s="17"/>
      <c r="NG39" s="18"/>
      <c r="NH39" s="21"/>
    </row>
    <row r="40" spans="1:372" ht="13.2">
      <c r="A40" s="11"/>
      <c r="B40" s="12"/>
      <c r="C40" s="13" t="s">
        <v>47</v>
      </c>
      <c r="D40" s="42">
        <v>45916</v>
      </c>
      <c r="E40" s="32">
        <v>45917</v>
      </c>
      <c r="F40" s="16">
        <v>1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8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8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8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9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9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9"/>
      <c r="GG40" s="17"/>
      <c r="GH40" s="17"/>
      <c r="GI40" s="17"/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  <c r="GZ40" s="17"/>
      <c r="HA40" s="17"/>
      <c r="HB40" s="17"/>
      <c r="HC40" s="17"/>
      <c r="HD40" s="17"/>
      <c r="HE40" s="17"/>
      <c r="HF40" s="17"/>
      <c r="HG40" s="17"/>
      <c r="HH40" s="17"/>
      <c r="HI40" s="17"/>
      <c r="HJ40" s="17"/>
      <c r="HK40" s="19"/>
      <c r="HL40" s="17"/>
      <c r="HM40" s="17"/>
      <c r="HN40" s="17"/>
      <c r="HO40" s="17"/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7"/>
      <c r="IB40" s="17"/>
      <c r="IC40" s="17"/>
      <c r="ID40" s="17"/>
      <c r="IE40" s="17"/>
      <c r="IF40" s="17"/>
      <c r="IG40" s="17"/>
      <c r="IH40" s="17"/>
      <c r="II40" s="17"/>
      <c r="IJ40" s="17"/>
      <c r="IK40" s="17"/>
      <c r="IL40" s="17"/>
      <c r="IM40" s="17"/>
      <c r="IN40" s="17"/>
      <c r="IO40" s="17"/>
      <c r="IP40" s="19"/>
      <c r="IQ40" s="17"/>
      <c r="IR40" s="17"/>
      <c r="IS40" s="17"/>
      <c r="IT40" s="17"/>
      <c r="IU40" s="17"/>
      <c r="IV40" s="17"/>
      <c r="IW40" s="17"/>
      <c r="IX40" s="17"/>
      <c r="IY40" s="17"/>
      <c r="IZ40" s="17"/>
      <c r="JA40" s="17"/>
      <c r="JB40" s="17"/>
      <c r="JC40" s="17"/>
      <c r="JD40" s="17"/>
      <c r="JE40" s="17"/>
      <c r="JF40" s="17"/>
      <c r="JG40" s="17"/>
      <c r="JH40" s="17"/>
      <c r="JI40" s="17"/>
      <c r="JJ40" s="17"/>
      <c r="JK40" s="17"/>
      <c r="JL40" s="17"/>
      <c r="JM40" s="17"/>
      <c r="JN40" s="17"/>
      <c r="JO40" s="17"/>
      <c r="JP40" s="17"/>
      <c r="JQ40" s="17"/>
      <c r="JR40" s="17"/>
      <c r="JS40" s="17"/>
      <c r="JT40" s="19"/>
      <c r="JU40" s="17"/>
      <c r="JV40" s="17"/>
      <c r="JW40" s="17"/>
      <c r="JX40" s="17"/>
      <c r="JY40" s="17"/>
      <c r="JZ40" s="17"/>
      <c r="KA40" s="17"/>
      <c r="KB40" s="17"/>
      <c r="KC40" s="17"/>
      <c r="KD40" s="17"/>
      <c r="KE40" s="17"/>
      <c r="KF40" s="17"/>
      <c r="KG40" s="17"/>
      <c r="KH40" s="17"/>
      <c r="KI40" s="17"/>
      <c r="KJ40" s="17"/>
      <c r="KK40" s="17"/>
      <c r="KL40" s="17"/>
      <c r="KM40" s="17"/>
      <c r="KN40" s="17"/>
      <c r="KO40" s="17"/>
      <c r="KP40" s="17"/>
      <c r="KQ40" s="17"/>
      <c r="KR40" s="17"/>
      <c r="KS40" s="17"/>
      <c r="KT40" s="17"/>
      <c r="KU40" s="17"/>
      <c r="KV40" s="17"/>
      <c r="KW40" s="17"/>
      <c r="KX40" s="17"/>
      <c r="KY40" s="19"/>
      <c r="KZ40" s="17"/>
      <c r="LA40" s="17"/>
      <c r="LB40" s="17"/>
      <c r="LC40" s="17"/>
      <c r="LD40" s="17"/>
      <c r="LE40" s="17"/>
      <c r="LF40" s="17"/>
      <c r="LG40" s="17"/>
      <c r="LH40" s="17"/>
      <c r="LI40" s="17"/>
      <c r="LJ40" s="17"/>
      <c r="LK40" s="17"/>
      <c r="LL40" s="17"/>
      <c r="LM40" s="17"/>
      <c r="LN40" s="17"/>
      <c r="LO40" s="17"/>
      <c r="LP40" s="17"/>
      <c r="LQ40" s="17"/>
      <c r="LR40" s="17"/>
      <c r="LS40" s="17"/>
      <c r="LT40" s="17"/>
      <c r="LU40" s="17"/>
      <c r="LV40" s="17"/>
      <c r="LW40" s="17"/>
      <c r="LX40" s="17"/>
      <c r="LY40" s="17"/>
      <c r="LZ40" s="17"/>
      <c r="MA40" s="17"/>
      <c r="MB40" s="17"/>
      <c r="MC40" s="19"/>
      <c r="MD40" s="17"/>
      <c r="ME40" s="17"/>
      <c r="MF40" s="17"/>
      <c r="MG40" s="17"/>
      <c r="MH40" s="17"/>
      <c r="MI40" s="17"/>
      <c r="MJ40" s="17"/>
      <c r="MK40" s="17"/>
      <c r="ML40" s="17"/>
      <c r="MM40" s="17"/>
      <c r="MN40" s="17"/>
      <c r="MO40" s="17"/>
      <c r="MP40" s="17"/>
      <c r="MQ40" s="17"/>
      <c r="MR40" s="17"/>
      <c r="MS40" s="17"/>
      <c r="MT40" s="17"/>
      <c r="MU40" s="17"/>
      <c r="MV40" s="17"/>
      <c r="MW40" s="17"/>
      <c r="MX40" s="17"/>
      <c r="MY40" s="17"/>
      <c r="MZ40" s="17"/>
      <c r="NA40" s="17"/>
      <c r="NB40" s="17"/>
      <c r="NC40" s="17"/>
      <c r="ND40" s="17"/>
      <c r="NE40" s="17"/>
      <c r="NF40" s="17"/>
      <c r="NG40" s="18"/>
      <c r="NH40" s="21"/>
    </row>
    <row r="41" spans="1:372" ht="13.2">
      <c r="A41" s="11"/>
      <c r="B41" s="12"/>
      <c r="C41" s="13" t="s">
        <v>48</v>
      </c>
      <c r="D41" s="42">
        <v>45916</v>
      </c>
      <c r="E41" s="32">
        <v>45917</v>
      </c>
      <c r="F41" s="16">
        <v>1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8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8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8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9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9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9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9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9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9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9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9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8"/>
      <c r="NH41" s="21"/>
    </row>
    <row r="42" spans="1:372" ht="13.2">
      <c r="A42" s="11"/>
      <c r="B42" s="12"/>
      <c r="C42" s="13" t="s">
        <v>49</v>
      </c>
      <c r="D42" s="42">
        <v>45916</v>
      </c>
      <c r="E42" s="32">
        <v>45917</v>
      </c>
      <c r="F42" s="16">
        <v>1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8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8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8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9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9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9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9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9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9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9"/>
      <c r="KZ42" s="17"/>
      <c r="LA42" s="17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9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8"/>
      <c r="NH42" s="21"/>
    </row>
    <row r="43" spans="1:372" ht="13.2">
      <c r="A43" s="11"/>
      <c r="B43" s="12"/>
      <c r="C43" s="13" t="s">
        <v>50</v>
      </c>
      <c r="D43" s="42">
        <v>45916</v>
      </c>
      <c r="E43" s="32">
        <v>45917</v>
      </c>
      <c r="F43" s="16">
        <v>1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8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8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8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9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9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9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9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9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9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9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9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8"/>
      <c r="NH43" s="21"/>
    </row>
    <row r="44" spans="1:372" ht="13.2">
      <c r="A44" s="11"/>
      <c r="B44" s="12"/>
      <c r="C44" s="13" t="s">
        <v>51</v>
      </c>
      <c r="D44" s="42">
        <v>45916</v>
      </c>
      <c r="E44" s="32">
        <v>45917</v>
      </c>
      <c r="F44" s="16">
        <v>1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8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8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8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9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9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9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9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9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9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9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9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8"/>
      <c r="NH44" s="21"/>
    </row>
    <row r="45" spans="1:372" ht="13.2">
      <c r="A45" s="11"/>
      <c r="B45" s="12"/>
      <c r="C45" s="13" t="s">
        <v>52</v>
      </c>
      <c r="D45" s="42">
        <v>45916</v>
      </c>
      <c r="E45" s="32">
        <v>45918</v>
      </c>
      <c r="F45" s="16">
        <v>1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8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8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8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9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9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9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9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9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9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9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9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8"/>
      <c r="NH45" s="21"/>
    </row>
    <row r="46" spans="1:372" ht="13.2">
      <c r="A46" s="11"/>
      <c r="B46" s="12"/>
      <c r="C46" s="13" t="s">
        <v>53</v>
      </c>
      <c r="D46" s="42">
        <v>45916</v>
      </c>
      <c r="E46" s="32">
        <v>45916</v>
      </c>
      <c r="F46" s="16">
        <v>1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8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8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8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9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9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9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/>
      <c r="HF46" s="17"/>
      <c r="HG46" s="17"/>
      <c r="HH46" s="17"/>
      <c r="HI46" s="17"/>
      <c r="HJ46" s="17"/>
      <c r="HK46" s="19"/>
      <c r="HL46" s="17"/>
      <c r="HM46" s="17"/>
      <c r="HN46" s="17"/>
      <c r="HO46" s="17"/>
      <c r="HP46" s="17"/>
      <c r="HQ46" s="17"/>
      <c r="HR46" s="17"/>
      <c r="HS46" s="17"/>
      <c r="HT46" s="17"/>
      <c r="HU46" s="17"/>
      <c r="HV46" s="17"/>
      <c r="HW46" s="17"/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9"/>
      <c r="IQ46" s="17"/>
      <c r="IR46" s="17"/>
      <c r="IS46" s="17"/>
      <c r="IT46" s="17"/>
      <c r="IU46" s="17"/>
      <c r="IV46" s="17"/>
      <c r="IW46" s="17"/>
      <c r="IX46" s="17"/>
      <c r="IY46" s="17"/>
      <c r="IZ46" s="17"/>
      <c r="JA46" s="17"/>
      <c r="JB46" s="17"/>
      <c r="JC46" s="17"/>
      <c r="JD46" s="17"/>
      <c r="JE46" s="17"/>
      <c r="JF46" s="17"/>
      <c r="JG46" s="17"/>
      <c r="JH46" s="17"/>
      <c r="JI46" s="17"/>
      <c r="JJ46" s="17"/>
      <c r="JK46" s="17"/>
      <c r="JL46" s="17"/>
      <c r="JM46" s="17"/>
      <c r="JN46" s="17"/>
      <c r="JO46" s="17"/>
      <c r="JP46" s="17"/>
      <c r="JQ46" s="17"/>
      <c r="JR46" s="17"/>
      <c r="JS46" s="17"/>
      <c r="JT46" s="19"/>
      <c r="JU46" s="17"/>
      <c r="JV46" s="17"/>
      <c r="JW46" s="17"/>
      <c r="JX46" s="17"/>
      <c r="JY46" s="17"/>
      <c r="JZ46" s="17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9"/>
      <c r="KZ46" s="17"/>
      <c r="LA46" s="17"/>
      <c r="LB46" s="17"/>
      <c r="LC46" s="17"/>
      <c r="LD46" s="17"/>
      <c r="LE46" s="17"/>
      <c r="LF46" s="17"/>
      <c r="LG46" s="17"/>
      <c r="LH46" s="17"/>
      <c r="LI46" s="17"/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9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8"/>
      <c r="NH46" s="21"/>
    </row>
    <row r="47" spans="1:372" ht="13.2">
      <c r="A47" s="13"/>
      <c r="B47" s="12"/>
      <c r="D47" s="43"/>
      <c r="E47" s="44"/>
      <c r="F47" s="45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8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8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8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9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9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9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9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9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9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9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9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8"/>
      <c r="NH47" s="21"/>
    </row>
    <row r="48" spans="1:372" ht="13.2">
      <c r="A48" s="11"/>
      <c r="B48" s="12"/>
      <c r="C48" s="13" t="s">
        <v>54</v>
      </c>
      <c r="D48" s="42">
        <v>45916</v>
      </c>
      <c r="E48" s="46">
        <v>45941</v>
      </c>
      <c r="F48" s="16">
        <v>1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8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8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8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9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9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9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9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9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9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9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9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8"/>
      <c r="NH48" s="21"/>
    </row>
    <row r="49" spans="1:372" ht="13.2">
      <c r="A49" s="1"/>
      <c r="B49" s="26"/>
      <c r="C49" s="25" t="s">
        <v>55</v>
      </c>
      <c r="D49" s="42">
        <v>45907</v>
      </c>
      <c r="E49" s="46">
        <v>45941</v>
      </c>
      <c r="F49" s="31">
        <v>0.5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9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9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9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0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0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0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0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0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0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0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0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9"/>
      <c r="NH49" s="1"/>
    </row>
    <row r="50" spans="1:372" ht="13.2">
      <c r="A50" s="1"/>
      <c r="B50" s="26"/>
      <c r="C50" s="25" t="s">
        <v>56</v>
      </c>
      <c r="D50" s="42">
        <v>45918</v>
      </c>
      <c r="E50" s="46">
        <v>45941</v>
      </c>
      <c r="F50" s="31">
        <v>0.2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9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9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9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0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0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0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0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0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0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0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0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9"/>
      <c r="NH50" s="1"/>
    </row>
    <row r="51" spans="1:372" ht="13.2">
      <c r="A51" s="1"/>
      <c r="B51" s="26"/>
      <c r="C51" s="25" t="s">
        <v>57</v>
      </c>
      <c r="D51" s="42">
        <v>45920</v>
      </c>
      <c r="E51" s="46">
        <v>45941</v>
      </c>
      <c r="F51" s="31">
        <v>0.4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9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9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9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0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0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0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0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0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0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0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0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9"/>
      <c r="NH51" s="1"/>
    </row>
    <row r="52" spans="1:372" ht="13.2">
      <c r="A52" s="1"/>
      <c r="B52" s="26"/>
      <c r="C52" s="25" t="s">
        <v>58</v>
      </c>
      <c r="D52" s="38">
        <v>45928</v>
      </c>
      <c r="E52" s="32">
        <v>45941</v>
      </c>
      <c r="F52" s="31">
        <v>0.9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9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9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9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0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0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0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0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0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0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0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0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9"/>
      <c r="NH52" s="1"/>
    </row>
    <row r="53" spans="1:372" ht="13.2">
      <c r="A53" s="1"/>
      <c r="B53" s="26"/>
      <c r="C53" s="25" t="s">
        <v>59</v>
      </c>
      <c r="D53" s="38">
        <v>45916</v>
      </c>
      <c r="E53" s="32">
        <v>45941</v>
      </c>
      <c r="F53" s="31">
        <v>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9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9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9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0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0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0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0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0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0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0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0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9"/>
      <c r="NH53" s="1"/>
    </row>
    <row r="54" spans="1:372" ht="13.2">
      <c r="A54" s="1"/>
      <c r="B54" s="26"/>
      <c r="C54" s="25" t="s">
        <v>60</v>
      </c>
      <c r="D54" s="38">
        <v>45917</v>
      </c>
      <c r="E54" s="32">
        <v>45941</v>
      </c>
      <c r="F54" s="31">
        <v>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9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9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9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0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0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0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0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0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3" t="s">
        <v>61</v>
      </c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0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0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0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9"/>
      <c r="NH54" s="1"/>
    </row>
    <row r="55" spans="1:372" ht="13.2">
      <c r="A55" s="1"/>
      <c r="B55" s="26"/>
      <c r="C55" s="25" t="s">
        <v>62</v>
      </c>
      <c r="D55" s="38">
        <v>45921</v>
      </c>
      <c r="E55" s="32">
        <v>45941</v>
      </c>
      <c r="F55" s="31">
        <v>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9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9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9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0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0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0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0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0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0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0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0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9"/>
      <c r="NH55" s="1"/>
    </row>
    <row r="56" spans="1:372" ht="13.2">
      <c r="A56" s="1"/>
      <c r="B56" s="26"/>
      <c r="C56" s="25" t="s">
        <v>63</v>
      </c>
      <c r="D56" s="38">
        <v>45921</v>
      </c>
      <c r="E56" s="32">
        <v>45941</v>
      </c>
      <c r="F56" s="31">
        <v>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9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9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9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0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0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0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0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0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0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0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0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9"/>
      <c r="NH56" s="1"/>
    </row>
    <row r="57" spans="1:372" ht="13.2">
      <c r="A57" s="1"/>
      <c r="B57" s="26"/>
      <c r="C57" s="25" t="s">
        <v>64</v>
      </c>
      <c r="D57" s="38">
        <v>45946</v>
      </c>
      <c r="E57" s="32">
        <v>45949</v>
      </c>
      <c r="F57" s="31">
        <v>0.5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9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9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9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0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0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0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0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0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0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0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0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9"/>
      <c r="NH57" s="1"/>
    </row>
    <row r="58" spans="1:372" ht="13.2">
      <c r="A58" s="1"/>
      <c r="B58" s="26"/>
      <c r="C58" s="25"/>
      <c r="D58" s="38"/>
      <c r="E58" s="32"/>
      <c r="F58" s="3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9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9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9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0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0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0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0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0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0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0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0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9"/>
      <c r="NH58" s="1"/>
    </row>
    <row r="59" spans="1:372" ht="13.2">
      <c r="A59" s="1"/>
      <c r="B59" s="26"/>
      <c r="C59" s="33"/>
      <c r="D59" s="38"/>
      <c r="E59" s="32"/>
      <c r="F59" s="3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9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9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9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0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0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0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0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0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0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0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0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9"/>
      <c r="NH59" s="1"/>
    </row>
    <row r="60" spans="1:372" ht="13.2">
      <c r="A60" s="1"/>
      <c r="B60" s="26"/>
      <c r="C60" s="25"/>
      <c r="D60" s="38"/>
      <c r="E60" s="32"/>
      <c r="F60" s="3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9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9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9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0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0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0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0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0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0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0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0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9"/>
      <c r="NH60" s="1"/>
    </row>
    <row r="61" spans="1:372" ht="13.2">
      <c r="A61" s="1"/>
      <c r="B61" s="26"/>
      <c r="C61" s="25"/>
      <c r="D61" s="38"/>
      <c r="E61" s="32"/>
      <c r="F61" s="3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9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9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9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0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0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0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0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0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0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0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0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9"/>
      <c r="NH61" s="1"/>
    </row>
    <row r="62" spans="1:372" ht="13.2">
      <c r="A62" s="1"/>
      <c r="B62" s="26"/>
      <c r="C62" s="25"/>
      <c r="D62" s="38"/>
      <c r="E62" s="32"/>
      <c r="F62" s="3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9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9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9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0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0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0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0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0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0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0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0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9"/>
      <c r="NH62" s="1"/>
    </row>
    <row r="63" spans="1:372" ht="13.2">
      <c r="A63" s="1"/>
      <c r="B63" s="26"/>
      <c r="C63" s="25"/>
      <c r="D63" s="38"/>
      <c r="E63" s="32"/>
      <c r="F63" s="3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9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9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9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0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0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0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0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0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0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0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0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9"/>
      <c r="NH63" s="1"/>
    </row>
    <row r="64" spans="1:372" ht="13.2">
      <c r="A64" s="1"/>
      <c r="B64" s="26"/>
      <c r="C64" s="25"/>
      <c r="D64" s="38"/>
      <c r="E64" s="32"/>
      <c r="F64" s="3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9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9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9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0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0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0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0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0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0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0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0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9"/>
      <c r="NH64" s="1"/>
    </row>
    <row r="65" spans="1:372" ht="13.2">
      <c r="A65" s="1"/>
      <c r="B65" s="26"/>
      <c r="C65" s="25"/>
      <c r="D65" s="38"/>
      <c r="E65" s="32"/>
      <c r="F65" s="3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9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9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9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0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0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0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0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0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0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0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0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9"/>
      <c r="NH65" s="1"/>
    </row>
    <row r="66" spans="1:372" ht="13.2">
      <c r="A66" s="1"/>
      <c r="B66" s="26"/>
      <c r="C66" s="25"/>
      <c r="D66" s="38"/>
      <c r="E66" s="47"/>
      <c r="F66" s="3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9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9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9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0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0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0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0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0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0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0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0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9"/>
      <c r="NH66" s="1"/>
    </row>
    <row r="67" spans="1:372" ht="13.2">
      <c r="A67" s="1"/>
      <c r="B67" s="26"/>
      <c r="C67" s="25"/>
      <c r="D67" s="38"/>
      <c r="E67" s="47"/>
      <c r="F67" s="3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9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9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9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0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0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0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0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0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0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0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0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9"/>
      <c r="NH67" s="1"/>
    </row>
    <row r="68" spans="1:372" ht="13.2">
      <c r="A68" s="1"/>
      <c r="B68" s="26"/>
      <c r="C68" s="25"/>
      <c r="D68" s="38"/>
      <c r="E68" s="47"/>
      <c r="F68" s="3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9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9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9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0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0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0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0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0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0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0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0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9"/>
      <c r="NH68" s="1"/>
    </row>
    <row r="69" spans="1:372" ht="13.2">
      <c r="A69" s="1"/>
      <c r="B69" s="26"/>
      <c r="C69" s="25"/>
      <c r="D69" s="38"/>
      <c r="E69" s="47"/>
      <c r="F69" s="3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9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9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9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0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0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0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0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0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0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0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0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9"/>
      <c r="NH69" s="1"/>
    </row>
    <row r="70" spans="1:372" ht="13.2">
      <c r="A70" s="1"/>
      <c r="B70" s="26"/>
      <c r="C70" s="25"/>
      <c r="D70" s="38"/>
      <c r="E70" s="47"/>
      <c r="F70" s="3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9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9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9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0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0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0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0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0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0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0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0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9"/>
      <c r="NH70" s="1"/>
    </row>
    <row r="71" spans="1:372" ht="13.2">
      <c r="A71" s="1"/>
      <c r="B71" s="39" t="s">
        <v>65</v>
      </c>
      <c r="C71" s="39" t="s">
        <v>66</v>
      </c>
      <c r="D71" s="40">
        <f t="array" aca="1" ref="D71" ca="1">MIN(INDIRECT(CONCATENATE("D",MATCH($B71,$B$1:$B115,0)+1,":","D",MATCH(TRUE,INDEX(($B72:$B115&lt;&gt;0),0),0)-1+MATCH($B71,$B$1:$B115,0))))</f>
        <v>45916</v>
      </c>
      <c r="E71" s="41">
        <f t="array" aca="1" ref="E71" ca="1">MAX(INDIRECT(CONCATENATE("E",MATCH($B71,$B$1:$B115,0)+1,":","E",MATCH(TRUE,INDEX(($B72:$B115&lt;&gt;0),0),0)-1+MATCH($B71,$B$1:$B115,0))))</f>
        <v>45928</v>
      </c>
      <c r="F71" s="3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9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9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9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0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0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0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0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0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0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0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0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9"/>
      <c r="NH71" s="1"/>
    </row>
    <row r="72" spans="1:372" ht="13.2">
      <c r="A72" s="11"/>
      <c r="B72" s="12"/>
      <c r="C72" s="13" t="s">
        <v>67</v>
      </c>
      <c r="D72" s="14">
        <v>45916</v>
      </c>
      <c r="E72" s="15">
        <v>45917</v>
      </c>
      <c r="F72" s="16">
        <v>1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8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8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8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9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9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9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9"/>
      <c r="HL72" s="17"/>
      <c r="HM72" s="17"/>
      <c r="HN72" s="17"/>
      <c r="HO72" s="17"/>
      <c r="HP72" s="17"/>
      <c r="HQ72" s="17"/>
      <c r="HR72" s="17"/>
      <c r="HS72" s="17"/>
      <c r="HT72" s="17"/>
      <c r="HU72" s="17"/>
      <c r="HV72" s="17"/>
      <c r="HW72" s="17"/>
      <c r="HX72" s="17"/>
      <c r="HY72" s="17"/>
      <c r="HZ72" s="17"/>
      <c r="IA72" s="17"/>
      <c r="IB72" s="17"/>
      <c r="IC72" s="17"/>
      <c r="ID72" s="17"/>
      <c r="IE72" s="17"/>
      <c r="IF72" s="17"/>
      <c r="IG72" s="17"/>
      <c r="IH72" s="17"/>
      <c r="II72" s="17"/>
      <c r="IJ72" s="17"/>
      <c r="IK72" s="17"/>
      <c r="IL72" s="17"/>
      <c r="IM72" s="17"/>
      <c r="IN72" s="17"/>
      <c r="IO72" s="17"/>
      <c r="IP72" s="19"/>
      <c r="IQ72" s="17"/>
      <c r="IR72" s="17"/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7"/>
      <c r="JM72" s="17"/>
      <c r="JN72" s="17"/>
      <c r="JO72" s="17"/>
      <c r="JP72" s="17"/>
      <c r="JQ72" s="17"/>
      <c r="JR72" s="17"/>
      <c r="JS72" s="17"/>
      <c r="JT72" s="19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/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7"/>
      <c r="KS72" s="17"/>
      <c r="KT72" s="17"/>
      <c r="KU72" s="17"/>
      <c r="KV72" s="17"/>
      <c r="KW72" s="17"/>
      <c r="KX72" s="17"/>
      <c r="KY72" s="19"/>
      <c r="KZ72" s="17"/>
      <c r="LA72" s="17"/>
      <c r="LB72" s="17"/>
      <c r="LC72" s="17"/>
      <c r="LD72" s="17"/>
      <c r="LE72" s="17"/>
      <c r="LF72" s="17"/>
      <c r="LG72" s="17"/>
      <c r="LH72" s="17"/>
      <c r="LI72" s="17"/>
      <c r="LJ72" s="17"/>
      <c r="LK72" s="17"/>
      <c r="LL72" s="17"/>
      <c r="LM72" s="17"/>
      <c r="LN72" s="17"/>
      <c r="LO72" s="17"/>
      <c r="LP72" s="17"/>
      <c r="LQ72" s="17"/>
      <c r="LR72" s="17"/>
      <c r="LS72" s="17"/>
      <c r="LT72" s="17"/>
      <c r="LU72" s="17"/>
      <c r="LV72" s="17"/>
      <c r="LW72" s="17"/>
      <c r="LX72" s="17"/>
      <c r="LY72" s="17"/>
      <c r="LZ72" s="17"/>
      <c r="MA72" s="17"/>
      <c r="MB72" s="17"/>
      <c r="MC72" s="19"/>
      <c r="MD72" s="17"/>
      <c r="ME72" s="17"/>
      <c r="MF72" s="17"/>
      <c r="MG72" s="17"/>
      <c r="MH72" s="17"/>
      <c r="MI72" s="17"/>
      <c r="MJ72" s="17"/>
      <c r="MK72" s="17"/>
      <c r="ML72" s="17"/>
      <c r="MM72" s="17"/>
      <c r="MN72" s="17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8"/>
      <c r="NH72" s="21"/>
    </row>
    <row r="73" spans="1:372" ht="13.2">
      <c r="A73" s="11"/>
      <c r="B73" s="12"/>
      <c r="C73" s="13" t="s">
        <v>68</v>
      </c>
      <c r="D73" s="14">
        <v>45916</v>
      </c>
      <c r="E73" s="15">
        <v>45918</v>
      </c>
      <c r="F73" s="16">
        <v>1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8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8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8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9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9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9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  <c r="GZ73" s="17"/>
      <c r="HA73" s="17"/>
      <c r="HB73" s="17"/>
      <c r="HC73" s="17"/>
      <c r="HD73" s="17"/>
      <c r="HE73" s="17"/>
      <c r="HF73" s="17"/>
      <c r="HG73" s="17"/>
      <c r="HH73" s="17"/>
      <c r="HI73" s="17"/>
      <c r="HJ73" s="17"/>
      <c r="HK73" s="19"/>
      <c r="HL73" s="17"/>
      <c r="HM73" s="17"/>
      <c r="HN73" s="17"/>
      <c r="HO73" s="17"/>
      <c r="HP73" s="17"/>
      <c r="HQ73" s="17"/>
      <c r="HR73" s="17"/>
      <c r="HS73" s="17"/>
      <c r="HT73" s="17"/>
      <c r="HU73" s="17"/>
      <c r="HV73" s="17"/>
      <c r="HW73" s="17"/>
      <c r="HX73" s="17"/>
      <c r="HY73" s="17"/>
      <c r="HZ73" s="17"/>
      <c r="IA73" s="17"/>
      <c r="IB73" s="17"/>
      <c r="IC73" s="17"/>
      <c r="ID73" s="17"/>
      <c r="IE73" s="17"/>
      <c r="IF73" s="17"/>
      <c r="IG73" s="17"/>
      <c r="IH73" s="17"/>
      <c r="II73" s="17"/>
      <c r="IJ73" s="17"/>
      <c r="IK73" s="17"/>
      <c r="IL73" s="17"/>
      <c r="IM73" s="17"/>
      <c r="IN73" s="17"/>
      <c r="IO73" s="17"/>
      <c r="IP73" s="19"/>
      <c r="IQ73" s="17"/>
      <c r="IR73" s="17"/>
      <c r="IS73" s="17"/>
      <c r="IT73" s="17"/>
      <c r="IU73" s="17"/>
      <c r="IV73" s="17"/>
      <c r="IW73" s="17"/>
      <c r="IX73" s="17"/>
      <c r="IY73" s="17"/>
      <c r="IZ73" s="17"/>
      <c r="JA73" s="17"/>
      <c r="JB73" s="17"/>
      <c r="JC73" s="17"/>
      <c r="JD73" s="17"/>
      <c r="JE73" s="17"/>
      <c r="JF73" s="17"/>
      <c r="JG73" s="17"/>
      <c r="JH73" s="17"/>
      <c r="JI73" s="17"/>
      <c r="JJ73" s="17"/>
      <c r="JK73" s="17"/>
      <c r="JL73" s="17"/>
      <c r="JM73" s="17"/>
      <c r="JN73" s="17"/>
      <c r="JO73" s="17"/>
      <c r="JP73" s="17"/>
      <c r="JQ73" s="17"/>
      <c r="JR73" s="17"/>
      <c r="JS73" s="17"/>
      <c r="JT73" s="19"/>
      <c r="JU73" s="17"/>
      <c r="JV73" s="17"/>
      <c r="JW73" s="17"/>
      <c r="JX73" s="17"/>
      <c r="JY73" s="17"/>
      <c r="JZ73" s="17"/>
      <c r="KA73" s="17"/>
      <c r="KB73" s="17"/>
      <c r="KC73" s="17"/>
      <c r="KD73" s="17"/>
      <c r="KE73" s="17"/>
      <c r="KF73" s="17"/>
      <c r="KG73" s="17"/>
      <c r="KH73" s="17"/>
      <c r="KI73" s="17"/>
      <c r="KJ73" s="17"/>
      <c r="KK73" s="17"/>
      <c r="KL73" s="17"/>
      <c r="KM73" s="17"/>
      <c r="KN73" s="17"/>
      <c r="KO73" s="17"/>
      <c r="KP73" s="17"/>
      <c r="KQ73" s="17"/>
      <c r="KR73" s="17"/>
      <c r="KS73" s="17"/>
      <c r="KT73" s="17"/>
      <c r="KU73" s="17"/>
      <c r="KV73" s="17"/>
      <c r="KW73" s="17"/>
      <c r="KX73" s="17"/>
      <c r="KY73" s="19"/>
      <c r="KZ73" s="17"/>
      <c r="LA73" s="17"/>
      <c r="LB73" s="17"/>
      <c r="LC73" s="17"/>
      <c r="LD73" s="17"/>
      <c r="LE73" s="17"/>
      <c r="LF73" s="17"/>
      <c r="LG73" s="17"/>
      <c r="LH73" s="17"/>
      <c r="LI73" s="17"/>
      <c r="LJ73" s="17"/>
      <c r="LK73" s="17"/>
      <c r="LL73" s="17"/>
      <c r="LM73" s="17"/>
      <c r="LN73" s="17"/>
      <c r="LO73" s="17"/>
      <c r="LP73" s="17"/>
      <c r="LQ73" s="17"/>
      <c r="LR73" s="17"/>
      <c r="LS73" s="17"/>
      <c r="LT73" s="17"/>
      <c r="LU73" s="17"/>
      <c r="LV73" s="17"/>
      <c r="LW73" s="17"/>
      <c r="LX73" s="17"/>
      <c r="LY73" s="17"/>
      <c r="LZ73" s="17"/>
      <c r="MA73" s="17"/>
      <c r="MB73" s="17"/>
      <c r="MC73" s="19"/>
      <c r="MD73" s="17"/>
      <c r="ME73" s="17"/>
      <c r="MF73" s="17"/>
      <c r="MG73" s="17"/>
      <c r="MH73" s="17"/>
      <c r="MI73" s="17"/>
      <c r="MJ73" s="17"/>
      <c r="MK73" s="17"/>
      <c r="ML73" s="17"/>
      <c r="MM73" s="17"/>
      <c r="MN73" s="17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8"/>
      <c r="NH73" s="21"/>
    </row>
    <row r="74" spans="1:372" ht="13.2">
      <c r="A74" s="11"/>
      <c r="B74" s="12"/>
      <c r="C74" s="13" t="s">
        <v>69</v>
      </c>
      <c r="D74" s="14">
        <v>45916</v>
      </c>
      <c r="E74" s="15">
        <v>45921</v>
      </c>
      <c r="F74" s="16">
        <v>1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8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8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8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9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9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  <c r="FN74" s="17"/>
      <c r="FO74" s="17"/>
      <c r="FP74" s="17"/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7"/>
      <c r="GE74" s="17"/>
      <c r="GF74" s="19"/>
      <c r="GG74" s="17"/>
      <c r="GH74" s="17"/>
      <c r="GI74" s="17"/>
      <c r="GJ74" s="17"/>
      <c r="GK74" s="17"/>
      <c r="GL74" s="17"/>
      <c r="GM74" s="17"/>
      <c r="GN74" s="17"/>
      <c r="GO74" s="17"/>
      <c r="GP74" s="17"/>
      <c r="GQ74" s="17"/>
      <c r="GR74" s="17"/>
      <c r="GS74" s="17"/>
      <c r="GT74" s="17"/>
      <c r="GU74" s="17"/>
      <c r="GV74" s="17"/>
      <c r="GW74" s="17"/>
      <c r="GX74" s="17"/>
      <c r="GY74" s="17"/>
      <c r="GZ74" s="17"/>
      <c r="HA74" s="17"/>
      <c r="HB74" s="17"/>
      <c r="HC74" s="17"/>
      <c r="HD74" s="17"/>
      <c r="HE74" s="17"/>
      <c r="HF74" s="17"/>
      <c r="HG74" s="17"/>
      <c r="HH74" s="17"/>
      <c r="HI74" s="17"/>
      <c r="HJ74" s="17"/>
      <c r="HK74" s="19"/>
      <c r="HL74" s="17"/>
      <c r="HM74" s="17"/>
      <c r="HN74" s="17"/>
      <c r="HO74" s="17"/>
      <c r="HP74" s="17"/>
      <c r="HQ74" s="17"/>
      <c r="HR74" s="17"/>
      <c r="HS74" s="17"/>
      <c r="HT74" s="17"/>
      <c r="HU74" s="17"/>
      <c r="HV74" s="17"/>
      <c r="HW74" s="17"/>
      <c r="HX74" s="17"/>
      <c r="HY74" s="17"/>
      <c r="HZ74" s="17"/>
      <c r="IA74" s="17"/>
      <c r="IB74" s="17"/>
      <c r="IC74" s="17"/>
      <c r="ID74" s="17"/>
      <c r="IE74" s="17"/>
      <c r="IF74" s="17"/>
      <c r="IG74" s="17"/>
      <c r="IH74" s="17"/>
      <c r="II74" s="17"/>
      <c r="IJ74" s="17"/>
      <c r="IK74" s="17"/>
      <c r="IL74" s="17"/>
      <c r="IM74" s="17"/>
      <c r="IN74" s="17"/>
      <c r="IO74" s="17"/>
      <c r="IP74" s="19"/>
      <c r="IQ74" s="17"/>
      <c r="IR74" s="17"/>
      <c r="IS74" s="17"/>
      <c r="IT74" s="17"/>
      <c r="IU74" s="17"/>
      <c r="IV74" s="17"/>
      <c r="IW74" s="17"/>
      <c r="IX74" s="17"/>
      <c r="IY74" s="17"/>
      <c r="IZ74" s="17"/>
      <c r="JA74" s="17"/>
      <c r="JB74" s="17"/>
      <c r="JC74" s="17"/>
      <c r="JD74" s="17"/>
      <c r="JE74" s="17"/>
      <c r="JF74" s="17"/>
      <c r="JG74" s="17"/>
      <c r="JH74" s="17"/>
      <c r="JI74" s="17"/>
      <c r="JJ74" s="17"/>
      <c r="JK74" s="17"/>
      <c r="JL74" s="17"/>
      <c r="JM74" s="17"/>
      <c r="JN74" s="17"/>
      <c r="JO74" s="17"/>
      <c r="JP74" s="17"/>
      <c r="JQ74" s="17"/>
      <c r="JR74" s="17"/>
      <c r="JS74" s="17"/>
      <c r="JT74" s="19"/>
      <c r="JU74" s="17"/>
      <c r="JV74" s="17"/>
      <c r="JW74" s="17"/>
      <c r="JX74" s="17"/>
      <c r="JY74" s="17"/>
      <c r="JZ74" s="17"/>
      <c r="KA74" s="17"/>
      <c r="KB74" s="17"/>
      <c r="KC74" s="17"/>
      <c r="KD74" s="17"/>
      <c r="KE74" s="17"/>
      <c r="KF74" s="17"/>
      <c r="KG74" s="17"/>
      <c r="KH74" s="17"/>
      <c r="KI74" s="17"/>
      <c r="KJ74" s="17"/>
      <c r="KK74" s="17"/>
      <c r="KL74" s="17"/>
      <c r="KM74" s="17"/>
      <c r="KN74" s="17"/>
      <c r="KO74" s="17"/>
      <c r="KP74" s="17"/>
      <c r="KQ74" s="17"/>
      <c r="KR74" s="17"/>
      <c r="KS74" s="17"/>
      <c r="KT74" s="17"/>
      <c r="KU74" s="17"/>
      <c r="KV74" s="17"/>
      <c r="KW74" s="17"/>
      <c r="KX74" s="17"/>
      <c r="KY74" s="19"/>
      <c r="KZ74" s="17"/>
      <c r="LA74" s="17"/>
      <c r="LB74" s="17"/>
      <c r="LC74" s="17"/>
      <c r="LD74" s="17"/>
      <c r="LE74" s="17"/>
      <c r="LF74" s="17"/>
      <c r="LG74" s="17"/>
      <c r="LH74" s="17"/>
      <c r="LI74" s="17"/>
      <c r="LJ74" s="17"/>
      <c r="LK74" s="17"/>
      <c r="LL74" s="17"/>
      <c r="LM74" s="17"/>
      <c r="LN74" s="17"/>
      <c r="LO74" s="17"/>
      <c r="LP74" s="17"/>
      <c r="LQ74" s="17"/>
      <c r="LR74" s="17"/>
      <c r="LS74" s="17"/>
      <c r="LT74" s="17"/>
      <c r="LU74" s="17"/>
      <c r="LV74" s="17"/>
      <c r="LW74" s="17"/>
      <c r="LX74" s="17"/>
      <c r="LY74" s="17"/>
      <c r="LZ74" s="17"/>
      <c r="MA74" s="17"/>
      <c r="MB74" s="17"/>
      <c r="MC74" s="19"/>
      <c r="MD74" s="17"/>
      <c r="ME74" s="17"/>
      <c r="MF74" s="17"/>
      <c r="MG74" s="17"/>
      <c r="MH74" s="17"/>
      <c r="MI74" s="17"/>
      <c r="MJ74" s="17"/>
      <c r="MK74" s="17"/>
      <c r="ML74" s="17"/>
      <c r="MM74" s="17"/>
      <c r="MN74" s="17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8"/>
      <c r="NH74" s="21"/>
    </row>
    <row r="75" spans="1:372" ht="13.2">
      <c r="A75" s="11"/>
      <c r="B75" s="12"/>
      <c r="C75" s="13" t="s">
        <v>70</v>
      </c>
      <c r="D75" s="14">
        <v>45916</v>
      </c>
      <c r="E75" s="15">
        <v>45921</v>
      </c>
      <c r="F75" s="16">
        <v>1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8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8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8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9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9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  <c r="GF75" s="19"/>
      <c r="GG75" s="17"/>
      <c r="GH75" s="17"/>
      <c r="GI75" s="17"/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  <c r="GX75" s="17"/>
      <c r="GY75" s="17"/>
      <c r="GZ75" s="17"/>
      <c r="HA75" s="17"/>
      <c r="HB75" s="17"/>
      <c r="HC75" s="17"/>
      <c r="HD75" s="17"/>
      <c r="HE75" s="17"/>
      <c r="HF75" s="17"/>
      <c r="HG75" s="17"/>
      <c r="HH75" s="17"/>
      <c r="HI75" s="17"/>
      <c r="HJ75" s="17"/>
      <c r="HK75" s="19"/>
      <c r="HL75" s="17"/>
      <c r="HM75" s="17"/>
      <c r="HN75" s="17"/>
      <c r="HO75" s="17"/>
      <c r="HP75" s="17"/>
      <c r="HQ75" s="17"/>
      <c r="HR75" s="17"/>
      <c r="HS75" s="17"/>
      <c r="HT75" s="17"/>
      <c r="HU75" s="17"/>
      <c r="HV75" s="17"/>
      <c r="HW75" s="17"/>
      <c r="HX75" s="17"/>
      <c r="HY75" s="17"/>
      <c r="HZ75" s="17"/>
      <c r="IA75" s="17"/>
      <c r="IB75" s="17"/>
      <c r="IC75" s="17"/>
      <c r="ID75" s="17"/>
      <c r="IE75" s="17"/>
      <c r="IF75" s="17"/>
      <c r="IG75" s="17"/>
      <c r="IH75" s="17"/>
      <c r="II75" s="17"/>
      <c r="IJ75" s="17"/>
      <c r="IK75" s="17"/>
      <c r="IL75" s="17"/>
      <c r="IM75" s="17"/>
      <c r="IN75" s="17"/>
      <c r="IO75" s="17"/>
      <c r="IP75" s="19"/>
      <c r="IQ75" s="17"/>
      <c r="IR75" s="17"/>
      <c r="IS75" s="17"/>
      <c r="IT75" s="17"/>
      <c r="IU75" s="17"/>
      <c r="IV75" s="17"/>
      <c r="IW75" s="17"/>
      <c r="IX75" s="17"/>
      <c r="IY75" s="17"/>
      <c r="IZ75" s="17"/>
      <c r="JA75" s="17"/>
      <c r="JB75" s="17"/>
      <c r="JC75" s="17"/>
      <c r="JD75" s="17"/>
      <c r="JE75" s="17"/>
      <c r="JF75" s="17"/>
      <c r="JG75" s="17"/>
      <c r="JH75" s="17"/>
      <c r="JI75" s="17"/>
      <c r="JJ75" s="17"/>
      <c r="JK75" s="17"/>
      <c r="JL75" s="17"/>
      <c r="JM75" s="17"/>
      <c r="JN75" s="17"/>
      <c r="JO75" s="17"/>
      <c r="JP75" s="17"/>
      <c r="JQ75" s="17"/>
      <c r="JR75" s="17"/>
      <c r="JS75" s="17"/>
      <c r="JT75" s="19"/>
      <c r="JU75" s="17"/>
      <c r="JV75" s="17"/>
      <c r="JW75" s="17"/>
      <c r="JX75" s="17"/>
      <c r="JY75" s="17"/>
      <c r="JZ75" s="17"/>
      <c r="KA75" s="17"/>
      <c r="KB75" s="17"/>
      <c r="KC75" s="17"/>
      <c r="KD75" s="17"/>
      <c r="KE75" s="17"/>
      <c r="KF75" s="17"/>
      <c r="KG75" s="17"/>
      <c r="KH75" s="17"/>
      <c r="KI75" s="17"/>
      <c r="KJ75" s="17"/>
      <c r="KK75" s="17"/>
      <c r="KL75" s="17"/>
      <c r="KM75" s="17"/>
      <c r="KN75" s="17"/>
      <c r="KO75" s="17"/>
      <c r="KP75" s="17"/>
      <c r="KQ75" s="17"/>
      <c r="KR75" s="17"/>
      <c r="KS75" s="17"/>
      <c r="KT75" s="17"/>
      <c r="KU75" s="17"/>
      <c r="KV75" s="17"/>
      <c r="KW75" s="17"/>
      <c r="KX75" s="17"/>
      <c r="KY75" s="19"/>
      <c r="KZ75" s="17"/>
      <c r="LA75" s="17"/>
      <c r="LB75" s="17"/>
      <c r="LC75" s="17"/>
      <c r="LD75" s="17"/>
      <c r="LE75" s="17"/>
      <c r="LF75" s="17"/>
      <c r="LG75" s="17"/>
      <c r="LH75" s="17"/>
      <c r="LI75" s="17"/>
      <c r="LJ75" s="17"/>
      <c r="LK75" s="17"/>
      <c r="LL75" s="17"/>
      <c r="LM75" s="17"/>
      <c r="LN75" s="17"/>
      <c r="LO75" s="17"/>
      <c r="LP75" s="17"/>
      <c r="LQ75" s="17"/>
      <c r="LR75" s="17"/>
      <c r="LS75" s="17"/>
      <c r="LT75" s="17"/>
      <c r="LU75" s="17"/>
      <c r="LV75" s="17"/>
      <c r="LW75" s="17"/>
      <c r="LX75" s="17"/>
      <c r="LY75" s="17"/>
      <c r="LZ75" s="17"/>
      <c r="MA75" s="17"/>
      <c r="MB75" s="17"/>
      <c r="MC75" s="19"/>
      <c r="MD75" s="17"/>
      <c r="ME75" s="17"/>
      <c r="MF75" s="17"/>
      <c r="MG75" s="17"/>
      <c r="MH75" s="17"/>
      <c r="MI75" s="17"/>
      <c r="MJ75" s="17"/>
      <c r="MK75" s="17"/>
      <c r="ML75" s="17"/>
      <c r="MM75" s="17"/>
      <c r="MN75" s="17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8"/>
      <c r="NH75" s="21"/>
    </row>
    <row r="76" spans="1:372" ht="13.2">
      <c r="A76" s="11"/>
      <c r="B76" s="12"/>
      <c r="C76" s="13" t="s">
        <v>71</v>
      </c>
      <c r="D76" s="14">
        <v>45916</v>
      </c>
      <c r="E76" s="15">
        <v>45921</v>
      </c>
      <c r="F76" s="16">
        <v>1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8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8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8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9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  <c r="EW76" s="17"/>
      <c r="EX76" s="17"/>
      <c r="EY76" s="17"/>
      <c r="EZ76" s="17"/>
      <c r="FA76" s="17"/>
      <c r="FB76" s="19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  <c r="FN76" s="17"/>
      <c r="FO76" s="17"/>
      <c r="FP76" s="17"/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  <c r="GF76" s="19"/>
      <c r="GG76" s="17"/>
      <c r="GH76" s="17"/>
      <c r="GI76" s="17"/>
      <c r="GJ76" s="17"/>
      <c r="GK76" s="17"/>
      <c r="GL76" s="17"/>
      <c r="GM76" s="17"/>
      <c r="GN76" s="17"/>
      <c r="GO76" s="17"/>
      <c r="GP76" s="17"/>
      <c r="GQ76" s="17"/>
      <c r="GR76" s="17"/>
      <c r="GS76" s="17"/>
      <c r="GT76" s="17"/>
      <c r="GU76" s="17"/>
      <c r="GV76" s="17"/>
      <c r="GW76" s="17"/>
      <c r="GX76" s="17"/>
      <c r="GY76" s="17"/>
      <c r="GZ76" s="17"/>
      <c r="HA76" s="17"/>
      <c r="HB76" s="17"/>
      <c r="HC76" s="17"/>
      <c r="HD76" s="17"/>
      <c r="HE76" s="17"/>
      <c r="HF76" s="17"/>
      <c r="HG76" s="17"/>
      <c r="HH76" s="17"/>
      <c r="HI76" s="17"/>
      <c r="HJ76" s="17"/>
      <c r="HK76" s="19"/>
      <c r="HL76" s="17"/>
      <c r="HM76" s="17"/>
      <c r="HN76" s="17"/>
      <c r="HO76" s="17"/>
      <c r="HP76" s="17"/>
      <c r="HQ76" s="17"/>
      <c r="HR76" s="17"/>
      <c r="HS76" s="17"/>
      <c r="HT76" s="17"/>
      <c r="HU76" s="17"/>
      <c r="HV76" s="17"/>
      <c r="HW76" s="17"/>
      <c r="HX76" s="17"/>
      <c r="HY76" s="17"/>
      <c r="HZ76" s="17"/>
      <c r="IA76" s="17"/>
      <c r="IB76" s="17"/>
      <c r="IC76" s="17"/>
      <c r="ID76" s="17"/>
      <c r="IE76" s="17"/>
      <c r="IF76" s="17"/>
      <c r="IG76" s="17"/>
      <c r="IH76" s="17"/>
      <c r="II76" s="17"/>
      <c r="IJ76" s="17"/>
      <c r="IK76" s="17"/>
      <c r="IL76" s="17"/>
      <c r="IM76" s="17"/>
      <c r="IN76" s="17"/>
      <c r="IO76" s="17"/>
      <c r="IP76" s="19"/>
      <c r="IQ76" s="17"/>
      <c r="IR76" s="17"/>
      <c r="IS76" s="17"/>
      <c r="IT76" s="17"/>
      <c r="IU76" s="17"/>
      <c r="IV76" s="17"/>
      <c r="IW76" s="17"/>
      <c r="IX76" s="17"/>
      <c r="IY76" s="17"/>
      <c r="IZ76" s="17"/>
      <c r="JA76" s="17"/>
      <c r="JB76" s="17"/>
      <c r="JC76" s="17"/>
      <c r="JD76" s="17"/>
      <c r="JE76" s="17"/>
      <c r="JF76" s="17"/>
      <c r="JG76" s="17"/>
      <c r="JH76" s="17"/>
      <c r="JI76" s="17"/>
      <c r="JJ76" s="17"/>
      <c r="JK76" s="17"/>
      <c r="JL76" s="17"/>
      <c r="JM76" s="17"/>
      <c r="JN76" s="17"/>
      <c r="JO76" s="17"/>
      <c r="JP76" s="17"/>
      <c r="JQ76" s="17"/>
      <c r="JR76" s="17"/>
      <c r="JS76" s="17"/>
      <c r="JT76" s="19"/>
      <c r="JU76" s="17"/>
      <c r="JV76" s="17"/>
      <c r="JW76" s="17"/>
      <c r="JX76" s="17"/>
      <c r="JY76" s="17"/>
      <c r="JZ76" s="17"/>
      <c r="KA76" s="17"/>
      <c r="KB76" s="17"/>
      <c r="KC76" s="17"/>
      <c r="KD76" s="17"/>
      <c r="KE76" s="17"/>
      <c r="KF76" s="17"/>
      <c r="KG76" s="17"/>
      <c r="KH76" s="17"/>
      <c r="KI76" s="17"/>
      <c r="KJ76" s="17"/>
      <c r="KK76" s="17"/>
      <c r="KL76" s="17"/>
      <c r="KM76" s="17"/>
      <c r="KN76" s="17"/>
      <c r="KO76" s="17"/>
      <c r="KP76" s="17"/>
      <c r="KQ76" s="17"/>
      <c r="KR76" s="17"/>
      <c r="KS76" s="17"/>
      <c r="KT76" s="17"/>
      <c r="KU76" s="17"/>
      <c r="KV76" s="17"/>
      <c r="KW76" s="17"/>
      <c r="KX76" s="17"/>
      <c r="KY76" s="19"/>
      <c r="KZ76" s="17"/>
      <c r="LA76" s="17"/>
      <c r="LB76" s="17"/>
      <c r="LC76" s="17"/>
      <c r="LD76" s="17"/>
      <c r="LE76" s="17"/>
      <c r="LF76" s="17"/>
      <c r="LG76" s="17"/>
      <c r="LH76" s="17"/>
      <c r="LI76" s="17"/>
      <c r="LJ76" s="17"/>
      <c r="LK76" s="17"/>
      <c r="LL76" s="17"/>
      <c r="LM76" s="17"/>
      <c r="LN76" s="17"/>
      <c r="LO76" s="17"/>
      <c r="LP76" s="17"/>
      <c r="LQ76" s="17"/>
      <c r="LR76" s="17"/>
      <c r="LS76" s="17"/>
      <c r="LT76" s="17"/>
      <c r="LU76" s="17"/>
      <c r="LV76" s="17"/>
      <c r="LW76" s="17"/>
      <c r="LX76" s="17"/>
      <c r="LY76" s="17"/>
      <c r="LZ76" s="17"/>
      <c r="MA76" s="17"/>
      <c r="MB76" s="17"/>
      <c r="MC76" s="19"/>
      <c r="MD76" s="17"/>
      <c r="ME76" s="17"/>
      <c r="MF76" s="17"/>
      <c r="MG76" s="17"/>
      <c r="MH76" s="17"/>
      <c r="MI76" s="17"/>
      <c r="MJ76" s="17"/>
      <c r="MK76" s="17"/>
      <c r="ML76" s="17"/>
      <c r="MM76" s="17"/>
      <c r="MN76" s="17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8"/>
      <c r="NH76" s="21"/>
    </row>
    <row r="77" spans="1:372" ht="13.2">
      <c r="A77" s="11"/>
      <c r="B77" s="12"/>
      <c r="C77" s="13" t="s">
        <v>72</v>
      </c>
      <c r="D77" s="14">
        <v>45916</v>
      </c>
      <c r="E77" s="15">
        <v>45921</v>
      </c>
      <c r="F77" s="16">
        <v>1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8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8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8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9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  <c r="EW77" s="17"/>
      <c r="EX77" s="17"/>
      <c r="EY77" s="17"/>
      <c r="EZ77" s="17"/>
      <c r="FA77" s="17"/>
      <c r="FB77" s="19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  <c r="FN77" s="17"/>
      <c r="FO77" s="17"/>
      <c r="FP77" s="17"/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9"/>
      <c r="GG77" s="17"/>
      <c r="GH77" s="17"/>
      <c r="GI77" s="17"/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  <c r="GZ77" s="17"/>
      <c r="HA77" s="17"/>
      <c r="HB77" s="17"/>
      <c r="HC77" s="17"/>
      <c r="HD77" s="17"/>
      <c r="HE77" s="17"/>
      <c r="HF77" s="17"/>
      <c r="HG77" s="17"/>
      <c r="HH77" s="17"/>
      <c r="HI77" s="17"/>
      <c r="HJ77" s="17"/>
      <c r="HK77" s="19"/>
      <c r="HL77" s="17"/>
      <c r="HM77" s="17"/>
      <c r="HN77" s="17"/>
      <c r="HO77" s="17"/>
      <c r="HP77" s="17"/>
      <c r="HQ77" s="17"/>
      <c r="HR77" s="17"/>
      <c r="HS77" s="17"/>
      <c r="HT77" s="17"/>
      <c r="HU77" s="17"/>
      <c r="HV77" s="17"/>
      <c r="HW77" s="17"/>
      <c r="HX77" s="17"/>
      <c r="HY77" s="17"/>
      <c r="HZ77" s="17"/>
      <c r="IA77" s="17"/>
      <c r="IB77" s="17"/>
      <c r="IC77" s="17"/>
      <c r="ID77" s="17"/>
      <c r="IE77" s="17"/>
      <c r="IF77" s="17"/>
      <c r="IG77" s="17"/>
      <c r="IH77" s="17"/>
      <c r="II77" s="17"/>
      <c r="IJ77" s="17"/>
      <c r="IK77" s="17"/>
      <c r="IL77" s="17"/>
      <c r="IM77" s="17"/>
      <c r="IN77" s="17"/>
      <c r="IO77" s="17"/>
      <c r="IP77" s="19"/>
      <c r="IQ77" s="17"/>
      <c r="IR77" s="17"/>
      <c r="IS77" s="17"/>
      <c r="IT77" s="17"/>
      <c r="IU77" s="17"/>
      <c r="IV77" s="17"/>
      <c r="IW77" s="17"/>
      <c r="IX77" s="17"/>
      <c r="IY77" s="17"/>
      <c r="IZ77" s="17"/>
      <c r="JA77" s="17"/>
      <c r="JB77" s="17"/>
      <c r="JC77" s="17"/>
      <c r="JD77" s="17"/>
      <c r="JE77" s="17"/>
      <c r="JF77" s="17"/>
      <c r="JG77" s="17"/>
      <c r="JH77" s="17"/>
      <c r="JI77" s="17"/>
      <c r="JJ77" s="17"/>
      <c r="JK77" s="17"/>
      <c r="JL77" s="17"/>
      <c r="JM77" s="17"/>
      <c r="JN77" s="17"/>
      <c r="JO77" s="17"/>
      <c r="JP77" s="17"/>
      <c r="JQ77" s="17"/>
      <c r="JR77" s="17"/>
      <c r="JS77" s="17"/>
      <c r="JT77" s="19"/>
      <c r="JU77" s="17"/>
      <c r="JV77" s="17"/>
      <c r="JW77" s="17"/>
      <c r="JX77" s="17"/>
      <c r="JY77" s="17"/>
      <c r="JZ77" s="17"/>
      <c r="KA77" s="17"/>
      <c r="KB77" s="17"/>
      <c r="KC77" s="17"/>
      <c r="KD77" s="17"/>
      <c r="KE77" s="17"/>
      <c r="KF77" s="17"/>
      <c r="KG77" s="17"/>
      <c r="KH77" s="17"/>
      <c r="KI77" s="17"/>
      <c r="KJ77" s="17"/>
      <c r="KK77" s="17"/>
      <c r="KL77" s="17"/>
      <c r="KM77" s="17"/>
      <c r="KN77" s="17"/>
      <c r="KO77" s="17"/>
      <c r="KP77" s="17"/>
      <c r="KQ77" s="17"/>
      <c r="KR77" s="17"/>
      <c r="KS77" s="17"/>
      <c r="KT77" s="17"/>
      <c r="KU77" s="17"/>
      <c r="KV77" s="17"/>
      <c r="KW77" s="17"/>
      <c r="KX77" s="17"/>
      <c r="KY77" s="19"/>
      <c r="KZ77" s="17"/>
      <c r="LA77" s="17"/>
      <c r="LB77" s="17"/>
      <c r="LC77" s="17"/>
      <c r="LD77" s="17"/>
      <c r="LE77" s="17"/>
      <c r="LF77" s="17"/>
      <c r="LG77" s="17"/>
      <c r="LH77" s="17"/>
      <c r="LI77" s="17"/>
      <c r="LJ77" s="17"/>
      <c r="LK77" s="17"/>
      <c r="LL77" s="17"/>
      <c r="LM77" s="17"/>
      <c r="LN77" s="17"/>
      <c r="LO77" s="17"/>
      <c r="LP77" s="17"/>
      <c r="LQ77" s="17"/>
      <c r="LR77" s="17"/>
      <c r="LS77" s="17"/>
      <c r="LT77" s="17"/>
      <c r="LU77" s="17"/>
      <c r="LV77" s="17"/>
      <c r="LW77" s="17"/>
      <c r="LX77" s="17"/>
      <c r="LY77" s="17"/>
      <c r="LZ77" s="17"/>
      <c r="MA77" s="17"/>
      <c r="MB77" s="17"/>
      <c r="MC77" s="19"/>
      <c r="MD77" s="17"/>
      <c r="ME77" s="17"/>
      <c r="MF77" s="17"/>
      <c r="MG77" s="17"/>
      <c r="MH77" s="17"/>
      <c r="MI77" s="17"/>
      <c r="MJ77" s="17"/>
      <c r="MK77" s="17"/>
      <c r="ML77" s="17"/>
      <c r="MM77" s="17"/>
      <c r="MN77" s="17"/>
      <c r="MO77" s="17"/>
      <c r="MP77" s="17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8"/>
      <c r="NH77" s="21"/>
    </row>
    <row r="78" spans="1:372" ht="13.2">
      <c r="A78" s="11"/>
      <c r="B78" s="12"/>
      <c r="C78" s="13" t="s">
        <v>73</v>
      </c>
      <c r="D78" s="14">
        <v>45920</v>
      </c>
      <c r="E78" s="15">
        <v>45921</v>
      </c>
      <c r="F78" s="16">
        <v>1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8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8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8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9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9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  <c r="FN78" s="17"/>
      <c r="FO78" s="17"/>
      <c r="FP78" s="17"/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  <c r="GF78" s="19"/>
      <c r="GG78" s="17"/>
      <c r="GH78" s="17"/>
      <c r="GI78" s="17"/>
      <c r="GJ78" s="17"/>
      <c r="GK78" s="17"/>
      <c r="GL78" s="17"/>
      <c r="GM78" s="17"/>
      <c r="GN78" s="17"/>
      <c r="GO78" s="17"/>
      <c r="GP78" s="17"/>
      <c r="GQ78" s="17"/>
      <c r="GR78" s="17"/>
      <c r="GS78" s="17"/>
      <c r="GT78" s="17"/>
      <c r="GU78" s="17"/>
      <c r="GV78" s="17"/>
      <c r="GW78" s="17"/>
      <c r="GX78" s="17"/>
      <c r="GY78" s="17"/>
      <c r="GZ78" s="17"/>
      <c r="HA78" s="17"/>
      <c r="HB78" s="17"/>
      <c r="HC78" s="17"/>
      <c r="HD78" s="17"/>
      <c r="HE78" s="17"/>
      <c r="HF78" s="17"/>
      <c r="HG78" s="17"/>
      <c r="HH78" s="17"/>
      <c r="HI78" s="17"/>
      <c r="HJ78" s="17"/>
      <c r="HK78" s="19"/>
      <c r="HL78" s="17"/>
      <c r="HM78" s="17"/>
      <c r="HN78" s="17"/>
      <c r="HO78" s="17"/>
      <c r="HP78" s="17"/>
      <c r="HQ78" s="17"/>
      <c r="HR78" s="17"/>
      <c r="HS78" s="17"/>
      <c r="HT78" s="17"/>
      <c r="HU78" s="17"/>
      <c r="HV78" s="17"/>
      <c r="HW78" s="17"/>
      <c r="HX78" s="17"/>
      <c r="HY78" s="17"/>
      <c r="HZ78" s="17"/>
      <c r="IA78" s="17"/>
      <c r="IB78" s="17"/>
      <c r="IC78" s="17"/>
      <c r="ID78" s="17"/>
      <c r="IE78" s="17"/>
      <c r="IF78" s="17"/>
      <c r="IG78" s="17"/>
      <c r="IH78" s="17"/>
      <c r="II78" s="17"/>
      <c r="IJ78" s="17"/>
      <c r="IK78" s="17"/>
      <c r="IL78" s="17"/>
      <c r="IM78" s="17"/>
      <c r="IN78" s="17"/>
      <c r="IO78" s="17"/>
      <c r="IP78" s="19"/>
      <c r="IQ78" s="17"/>
      <c r="IR78" s="17"/>
      <c r="IS78" s="17"/>
      <c r="IT78" s="17"/>
      <c r="IU78" s="17"/>
      <c r="IV78" s="17"/>
      <c r="IW78" s="17"/>
      <c r="IX78" s="17"/>
      <c r="IY78" s="17"/>
      <c r="IZ78" s="17"/>
      <c r="JA78" s="17"/>
      <c r="JB78" s="17"/>
      <c r="JC78" s="17"/>
      <c r="JD78" s="17"/>
      <c r="JE78" s="17"/>
      <c r="JF78" s="17"/>
      <c r="JG78" s="17"/>
      <c r="JH78" s="17"/>
      <c r="JI78" s="17"/>
      <c r="JJ78" s="17"/>
      <c r="JK78" s="17"/>
      <c r="JL78" s="17"/>
      <c r="JM78" s="17"/>
      <c r="JN78" s="17"/>
      <c r="JO78" s="17"/>
      <c r="JP78" s="17"/>
      <c r="JQ78" s="17"/>
      <c r="JR78" s="17"/>
      <c r="JS78" s="17"/>
      <c r="JT78" s="19"/>
      <c r="JU78" s="17"/>
      <c r="JV78" s="17"/>
      <c r="JW78" s="17"/>
      <c r="JX78" s="17"/>
      <c r="JY78" s="17"/>
      <c r="JZ78" s="17"/>
      <c r="KA78" s="17"/>
      <c r="KB78" s="17"/>
      <c r="KC78" s="17"/>
      <c r="KD78" s="17"/>
      <c r="KE78" s="17"/>
      <c r="KF78" s="17"/>
      <c r="KG78" s="17"/>
      <c r="KH78" s="17"/>
      <c r="KI78" s="17"/>
      <c r="KJ78" s="17"/>
      <c r="KK78" s="17"/>
      <c r="KL78" s="17"/>
      <c r="KM78" s="17"/>
      <c r="KN78" s="17"/>
      <c r="KO78" s="17"/>
      <c r="KP78" s="17"/>
      <c r="KQ78" s="17"/>
      <c r="KR78" s="17"/>
      <c r="KS78" s="17"/>
      <c r="KT78" s="17"/>
      <c r="KU78" s="17"/>
      <c r="KV78" s="17"/>
      <c r="KW78" s="17"/>
      <c r="KX78" s="17"/>
      <c r="KY78" s="19"/>
      <c r="KZ78" s="17"/>
      <c r="LA78" s="17"/>
      <c r="LB78" s="17"/>
      <c r="LC78" s="17"/>
      <c r="LD78" s="17"/>
      <c r="LE78" s="17"/>
      <c r="LF78" s="17"/>
      <c r="LG78" s="17"/>
      <c r="LH78" s="17"/>
      <c r="LI78" s="17"/>
      <c r="LJ78" s="17"/>
      <c r="LK78" s="17"/>
      <c r="LL78" s="17"/>
      <c r="LM78" s="17"/>
      <c r="LN78" s="17"/>
      <c r="LO78" s="17"/>
      <c r="LP78" s="17"/>
      <c r="LQ78" s="17"/>
      <c r="LR78" s="17"/>
      <c r="LS78" s="17"/>
      <c r="LT78" s="17"/>
      <c r="LU78" s="17"/>
      <c r="LV78" s="17"/>
      <c r="LW78" s="17"/>
      <c r="LX78" s="17"/>
      <c r="LY78" s="17"/>
      <c r="LZ78" s="17"/>
      <c r="MA78" s="17"/>
      <c r="MB78" s="17"/>
      <c r="MC78" s="19"/>
      <c r="MD78" s="17"/>
      <c r="ME78" s="17"/>
      <c r="MF78" s="17"/>
      <c r="MG78" s="17"/>
      <c r="MH78" s="17"/>
      <c r="MI78" s="17"/>
      <c r="MJ78" s="17"/>
      <c r="MK78" s="17"/>
      <c r="ML78" s="17"/>
      <c r="MM78" s="17"/>
      <c r="MN78" s="17"/>
      <c r="MO78" s="17"/>
      <c r="MP78" s="17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8"/>
      <c r="NH78" s="21"/>
    </row>
    <row r="79" spans="1:372" ht="13.2">
      <c r="A79" s="11"/>
      <c r="B79" s="12"/>
      <c r="C79" s="23" t="s">
        <v>74</v>
      </c>
      <c r="D79" s="14">
        <v>45923</v>
      </c>
      <c r="E79" s="15">
        <v>45924</v>
      </c>
      <c r="F79" s="16">
        <v>1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8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8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8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9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9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9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9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9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9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9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9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8"/>
      <c r="NH79" s="21"/>
    </row>
    <row r="80" spans="1:372" ht="13.2">
      <c r="A80" s="11"/>
      <c r="B80" s="12"/>
      <c r="C80" s="23" t="s">
        <v>75</v>
      </c>
      <c r="D80" s="14">
        <v>45927</v>
      </c>
      <c r="E80" s="15">
        <v>45928</v>
      </c>
      <c r="F80" s="16">
        <v>1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8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8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8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9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  <c r="EW80" s="17"/>
      <c r="EX80" s="17"/>
      <c r="EY80" s="17"/>
      <c r="EZ80" s="17"/>
      <c r="FA80" s="17"/>
      <c r="FB80" s="19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  <c r="FN80" s="17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9"/>
      <c r="GG80" s="17"/>
      <c r="GH80" s="17"/>
      <c r="GI80" s="17"/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  <c r="GZ80" s="17"/>
      <c r="HA80" s="17"/>
      <c r="HB80" s="17"/>
      <c r="HC80" s="17"/>
      <c r="HD80" s="17"/>
      <c r="HE80" s="17"/>
      <c r="HF80" s="17"/>
      <c r="HG80" s="17"/>
      <c r="HH80" s="17"/>
      <c r="HI80" s="17"/>
      <c r="HJ80" s="17"/>
      <c r="HK80" s="19"/>
      <c r="HL80" s="17"/>
      <c r="HM80" s="17"/>
      <c r="HN80" s="17"/>
      <c r="HO80" s="17"/>
      <c r="HP80" s="17"/>
      <c r="HQ80" s="17"/>
      <c r="HR80" s="17"/>
      <c r="HS80" s="17"/>
      <c r="HT80" s="17"/>
      <c r="HU80" s="17"/>
      <c r="HV80" s="17"/>
      <c r="HW80" s="17"/>
      <c r="HX80" s="17"/>
      <c r="HY80" s="17"/>
      <c r="HZ80" s="17"/>
      <c r="IA80" s="17"/>
      <c r="IB80" s="17"/>
      <c r="IC80" s="17"/>
      <c r="ID80" s="17"/>
      <c r="IE80" s="17"/>
      <c r="IF80" s="17"/>
      <c r="IG80" s="17"/>
      <c r="IH80" s="17"/>
      <c r="II80" s="17"/>
      <c r="IJ80" s="17"/>
      <c r="IK80" s="17"/>
      <c r="IL80" s="17"/>
      <c r="IM80" s="17"/>
      <c r="IN80" s="17"/>
      <c r="IO80" s="17"/>
      <c r="IP80" s="19"/>
      <c r="IQ80" s="17"/>
      <c r="IR80" s="17"/>
      <c r="IS80" s="17"/>
      <c r="IT80" s="17"/>
      <c r="IU80" s="17"/>
      <c r="IV80" s="17"/>
      <c r="IW80" s="17"/>
      <c r="IX80" s="17"/>
      <c r="IY80" s="17"/>
      <c r="IZ80" s="17"/>
      <c r="JA80" s="17"/>
      <c r="JB80" s="17"/>
      <c r="JC80" s="17"/>
      <c r="JD80" s="17"/>
      <c r="JE80" s="17"/>
      <c r="JF80" s="17"/>
      <c r="JG80" s="17"/>
      <c r="JH80" s="17"/>
      <c r="JI80" s="17"/>
      <c r="JJ80" s="17"/>
      <c r="JK80" s="17"/>
      <c r="JL80" s="17"/>
      <c r="JM80" s="17"/>
      <c r="JN80" s="17"/>
      <c r="JO80" s="17"/>
      <c r="JP80" s="17"/>
      <c r="JQ80" s="17"/>
      <c r="JR80" s="17"/>
      <c r="JS80" s="17"/>
      <c r="JT80" s="19"/>
      <c r="JU80" s="17"/>
      <c r="JV80" s="17"/>
      <c r="JW80" s="17"/>
      <c r="JX80" s="17"/>
      <c r="JY80" s="17"/>
      <c r="JZ80" s="17"/>
      <c r="KA80" s="17"/>
      <c r="KB80" s="17"/>
      <c r="KC80" s="17"/>
      <c r="KD80" s="17"/>
      <c r="KE80" s="17"/>
      <c r="KF80" s="17"/>
      <c r="KG80" s="17"/>
      <c r="KH80" s="17"/>
      <c r="KI80" s="17"/>
      <c r="KJ80" s="17"/>
      <c r="KK80" s="17"/>
      <c r="KL80" s="17"/>
      <c r="KM80" s="17"/>
      <c r="KN80" s="17"/>
      <c r="KO80" s="17"/>
      <c r="KP80" s="17"/>
      <c r="KQ80" s="17"/>
      <c r="KR80" s="17"/>
      <c r="KS80" s="17"/>
      <c r="KT80" s="17"/>
      <c r="KU80" s="17"/>
      <c r="KV80" s="17"/>
      <c r="KW80" s="17"/>
      <c r="KX80" s="17"/>
      <c r="KY80" s="19"/>
      <c r="KZ80" s="17"/>
      <c r="LA80" s="17"/>
      <c r="LB80" s="17"/>
      <c r="LC80" s="17"/>
      <c r="LD80" s="17"/>
      <c r="LE80" s="17"/>
      <c r="LF80" s="17"/>
      <c r="LG80" s="17"/>
      <c r="LH80" s="17"/>
      <c r="LI80" s="17"/>
      <c r="LJ80" s="17"/>
      <c r="LK80" s="17"/>
      <c r="LL80" s="17"/>
      <c r="LM80" s="17"/>
      <c r="LN80" s="17"/>
      <c r="LO80" s="17"/>
      <c r="LP80" s="17"/>
      <c r="LQ80" s="17"/>
      <c r="LR80" s="17"/>
      <c r="LS80" s="17"/>
      <c r="LT80" s="17"/>
      <c r="LU80" s="17"/>
      <c r="LV80" s="17"/>
      <c r="LW80" s="17"/>
      <c r="LX80" s="17"/>
      <c r="LY80" s="17"/>
      <c r="LZ80" s="17"/>
      <c r="MA80" s="17"/>
      <c r="MB80" s="17"/>
      <c r="MC80" s="19"/>
      <c r="MD80" s="17"/>
      <c r="ME80" s="17"/>
      <c r="MF80" s="17"/>
      <c r="MG80" s="17"/>
      <c r="MH80" s="17"/>
      <c r="MI80" s="17"/>
      <c r="MJ80" s="17"/>
      <c r="MK80" s="17"/>
      <c r="ML80" s="17"/>
      <c r="MM80" s="17"/>
      <c r="MN80" s="17"/>
      <c r="MO80" s="17"/>
      <c r="MP80" s="17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8"/>
      <c r="NH80" s="21"/>
    </row>
    <row r="81" spans="1:372" ht="13.2">
      <c r="A81" s="11"/>
      <c r="B81" s="12"/>
      <c r="C81" s="33"/>
      <c r="D81" s="14"/>
      <c r="E81" s="15"/>
      <c r="F81" s="48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8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8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8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9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  <c r="EW81" s="17"/>
      <c r="EX81" s="17"/>
      <c r="EY81" s="17"/>
      <c r="EZ81" s="17"/>
      <c r="FA81" s="17"/>
      <c r="FB81" s="19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  <c r="FN81" s="17"/>
      <c r="FO81" s="17"/>
      <c r="FP81" s="17"/>
      <c r="FQ81" s="17"/>
      <c r="FR81" s="17"/>
      <c r="FS81" s="17"/>
      <c r="FT81" s="17"/>
      <c r="FU81" s="17"/>
      <c r="FV81" s="17"/>
      <c r="FW81" s="17"/>
      <c r="FX81" s="17"/>
      <c r="FY81" s="17"/>
      <c r="FZ81" s="17"/>
      <c r="GA81" s="17"/>
      <c r="GB81" s="17"/>
      <c r="GC81" s="17"/>
      <c r="GD81" s="17"/>
      <c r="GE81" s="17"/>
      <c r="GF81" s="19"/>
      <c r="GG81" s="17"/>
      <c r="GH81" s="17"/>
      <c r="GI81" s="17"/>
      <c r="GJ81" s="17"/>
      <c r="GK81" s="17"/>
      <c r="GL81" s="17"/>
      <c r="GM81" s="17"/>
      <c r="GN81" s="17"/>
      <c r="GO81" s="17"/>
      <c r="GP81" s="17"/>
      <c r="GQ81" s="17"/>
      <c r="GR81" s="17"/>
      <c r="GS81" s="17"/>
      <c r="GT81" s="17"/>
      <c r="GU81" s="17"/>
      <c r="GV81" s="17"/>
      <c r="GW81" s="17"/>
      <c r="GX81" s="17"/>
      <c r="GY81" s="17"/>
      <c r="GZ81" s="17"/>
      <c r="HA81" s="17"/>
      <c r="HB81" s="17"/>
      <c r="HC81" s="17"/>
      <c r="HD81" s="17"/>
      <c r="HE81" s="17"/>
      <c r="HF81" s="17"/>
      <c r="HG81" s="17"/>
      <c r="HH81" s="17"/>
      <c r="HI81" s="17"/>
      <c r="HJ81" s="17"/>
      <c r="HK81" s="19"/>
      <c r="HL81" s="17"/>
      <c r="HM81" s="17"/>
      <c r="HN81" s="17"/>
      <c r="HO81" s="17"/>
      <c r="HP81" s="17"/>
      <c r="HQ81" s="17"/>
      <c r="HR81" s="17"/>
      <c r="HS81" s="17"/>
      <c r="HT81" s="17"/>
      <c r="HU81" s="17"/>
      <c r="HV81" s="17"/>
      <c r="HW81" s="17"/>
      <c r="HX81" s="17"/>
      <c r="HY81" s="17"/>
      <c r="HZ81" s="17"/>
      <c r="IA81" s="17"/>
      <c r="IB81" s="17"/>
      <c r="IC81" s="17"/>
      <c r="ID81" s="17"/>
      <c r="IE81" s="17"/>
      <c r="IF81" s="17"/>
      <c r="IG81" s="17"/>
      <c r="IH81" s="17"/>
      <c r="II81" s="17"/>
      <c r="IJ81" s="17"/>
      <c r="IK81" s="17"/>
      <c r="IL81" s="17"/>
      <c r="IM81" s="17"/>
      <c r="IN81" s="17"/>
      <c r="IO81" s="17"/>
      <c r="IP81" s="19"/>
      <c r="IQ81" s="17"/>
      <c r="IR81" s="17"/>
      <c r="IS81" s="17"/>
      <c r="IT81" s="17"/>
      <c r="IU81" s="17"/>
      <c r="IV81" s="17"/>
      <c r="IW81" s="17"/>
      <c r="IX81" s="17"/>
      <c r="IY81" s="17"/>
      <c r="IZ81" s="17"/>
      <c r="JA81" s="17"/>
      <c r="JB81" s="17"/>
      <c r="JC81" s="17"/>
      <c r="JD81" s="17"/>
      <c r="JE81" s="17"/>
      <c r="JF81" s="17"/>
      <c r="JG81" s="17"/>
      <c r="JH81" s="17"/>
      <c r="JI81" s="17"/>
      <c r="JJ81" s="17"/>
      <c r="JK81" s="17"/>
      <c r="JL81" s="17"/>
      <c r="JM81" s="17"/>
      <c r="JN81" s="17"/>
      <c r="JO81" s="17"/>
      <c r="JP81" s="17"/>
      <c r="JQ81" s="17"/>
      <c r="JR81" s="17"/>
      <c r="JS81" s="17"/>
      <c r="JT81" s="19"/>
      <c r="JU81" s="17"/>
      <c r="JV81" s="17"/>
      <c r="JW81" s="17"/>
      <c r="JX81" s="17"/>
      <c r="JY81" s="17"/>
      <c r="JZ81" s="17"/>
      <c r="KA81" s="17"/>
      <c r="KB81" s="17"/>
      <c r="KC81" s="17"/>
      <c r="KD81" s="17"/>
      <c r="KE81" s="17"/>
      <c r="KF81" s="17"/>
      <c r="KG81" s="17"/>
      <c r="KH81" s="17"/>
      <c r="KI81" s="17"/>
      <c r="KJ81" s="17"/>
      <c r="KK81" s="17"/>
      <c r="KL81" s="17"/>
      <c r="KM81" s="17"/>
      <c r="KN81" s="17"/>
      <c r="KO81" s="17"/>
      <c r="KP81" s="17"/>
      <c r="KQ81" s="17"/>
      <c r="KR81" s="17"/>
      <c r="KS81" s="17"/>
      <c r="KT81" s="17"/>
      <c r="KU81" s="17"/>
      <c r="KV81" s="17"/>
      <c r="KW81" s="17"/>
      <c r="KX81" s="17"/>
      <c r="KY81" s="19"/>
      <c r="KZ81" s="17"/>
      <c r="LA81" s="17"/>
      <c r="LB81" s="17"/>
      <c r="LC81" s="17"/>
      <c r="LD81" s="17"/>
      <c r="LE81" s="17"/>
      <c r="LF81" s="17"/>
      <c r="LG81" s="17"/>
      <c r="LH81" s="17"/>
      <c r="LI81" s="17"/>
      <c r="LJ81" s="17"/>
      <c r="LK81" s="17"/>
      <c r="LL81" s="17"/>
      <c r="LM81" s="17"/>
      <c r="LN81" s="17"/>
      <c r="LO81" s="17"/>
      <c r="LP81" s="17"/>
      <c r="LQ81" s="17"/>
      <c r="LR81" s="17"/>
      <c r="LS81" s="17"/>
      <c r="LT81" s="17"/>
      <c r="LU81" s="17"/>
      <c r="LV81" s="17"/>
      <c r="LW81" s="17"/>
      <c r="LX81" s="17"/>
      <c r="LY81" s="17"/>
      <c r="LZ81" s="17"/>
      <c r="MA81" s="17"/>
      <c r="MB81" s="17"/>
      <c r="MC81" s="19"/>
      <c r="MD81" s="17"/>
      <c r="ME81" s="17"/>
      <c r="MF81" s="17"/>
      <c r="MG81" s="17"/>
      <c r="MH81" s="17"/>
      <c r="MI81" s="17"/>
      <c r="MJ81" s="17"/>
      <c r="MK81" s="17"/>
      <c r="ML81" s="17"/>
      <c r="MM81" s="17"/>
      <c r="MN81" s="17"/>
      <c r="MO81" s="17"/>
      <c r="MP81" s="17"/>
      <c r="MQ81" s="17"/>
      <c r="MR81" s="17"/>
      <c r="MS81" s="17"/>
      <c r="MT81" s="17"/>
      <c r="MU81" s="17"/>
      <c r="MV81" s="17"/>
      <c r="MW81" s="17"/>
      <c r="MX81" s="17"/>
      <c r="MY81" s="17"/>
      <c r="MZ81" s="17"/>
      <c r="NA81" s="17"/>
      <c r="NB81" s="17"/>
      <c r="NC81" s="17"/>
      <c r="ND81" s="17"/>
      <c r="NE81" s="17"/>
      <c r="NF81" s="17"/>
      <c r="NG81" s="18"/>
      <c r="NH81" s="21"/>
    </row>
    <row r="82" spans="1:372" ht="13.2">
      <c r="A82" s="11"/>
      <c r="B82" s="12"/>
      <c r="C82" s="13"/>
      <c r="D82" s="14"/>
      <c r="E82" s="15"/>
      <c r="F82" s="48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8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8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8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9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  <c r="EW82" s="17"/>
      <c r="EX82" s="17"/>
      <c r="EY82" s="17"/>
      <c r="EZ82" s="17"/>
      <c r="FA82" s="17"/>
      <c r="FB82" s="19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  <c r="FN82" s="17"/>
      <c r="FO82" s="17"/>
      <c r="FP82" s="17"/>
      <c r="FQ82" s="17"/>
      <c r="FR82" s="17"/>
      <c r="FS82" s="17"/>
      <c r="FT82" s="17"/>
      <c r="FU82" s="17"/>
      <c r="FV82" s="17"/>
      <c r="FW82" s="17"/>
      <c r="FX82" s="17"/>
      <c r="FY82" s="17"/>
      <c r="FZ82" s="17"/>
      <c r="GA82" s="17"/>
      <c r="GB82" s="17"/>
      <c r="GC82" s="17"/>
      <c r="GD82" s="17"/>
      <c r="GE82" s="17"/>
      <c r="GF82" s="19"/>
      <c r="GG82" s="17"/>
      <c r="GH82" s="17"/>
      <c r="GI82" s="17"/>
      <c r="GJ82" s="17"/>
      <c r="GK82" s="17"/>
      <c r="GL82" s="17"/>
      <c r="GM82" s="17"/>
      <c r="GN82" s="17"/>
      <c r="GO82" s="17"/>
      <c r="GP82" s="17"/>
      <c r="GQ82" s="17"/>
      <c r="GR82" s="17"/>
      <c r="GS82" s="17"/>
      <c r="GT82" s="17"/>
      <c r="GU82" s="17"/>
      <c r="GV82" s="17"/>
      <c r="GW82" s="17"/>
      <c r="GX82" s="17"/>
      <c r="GY82" s="17"/>
      <c r="GZ82" s="17"/>
      <c r="HA82" s="17"/>
      <c r="HB82" s="17"/>
      <c r="HC82" s="17"/>
      <c r="HD82" s="17"/>
      <c r="HE82" s="17"/>
      <c r="HF82" s="17"/>
      <c r="HG82" s="17"/>
      <c r="HH82" s="17"/>
      <c r="HI82" s="17"/>
      <c r="HJ82" s="17"/>
      <c r="HK82" s="19"/>
      <c r="HL82" s="17"/>
      <c r="HM82" s="17"/>
      <c r="HN82" s="17"/>
      <c r="HO82" s="17"/>
      <c r="HP82" s="17"/>
      <c r="HQ82" s="17"/>
      <c r="HR82" s="17"/>
      <c r="HS82" s="17"/>
      <c r="HT82" s="17"/>
      <c r="HU82" s="17"/>
      <c r="HV82" s="17"/>
      <c r="HW82" s="17"/>
      <c r="HX82" s="17"/>
      <c r="HY82" s="17"/>
      <c r="HZ82" s="17"/>
      <c r="IA82" s="17"/>
      <c r="IB82" s="17"/>
      <c r="IC82" s="17"/>
      <c r="ID82" s="17"/>
      <c r="IE82" s="17"/>
      <c r="IF82" s="17"/>
      <c r="IG82" s="17"/>
      <c r="IH82" s="17"/>
      <c r="II82" s="17"/>
      <c r="IJ82" s="17"/>
      <c r="IK82" s="17"/>
      <c r="IL82" s="17"/>
      <c r="IM82" s="17"/>
      <c r="IN82" s="17"/>
      <c r="IO82" s="17"/>
      <c r="IP82" s="19"/>
      <c r="IQ82" s="17"/>
      <c r="IR82" s="17"/>
      <c r="IS82" s="17"/>
      <c r="IT82" s="17"/>
      <c r="IU82" s="17"/>
      <c r="IV82" s="17"/>
      <c r="IW82" s="17"/>
      <c r="IX82" s="17"/>
      <c r="IY82" s="17"/>
      <c r="IZ82" s="17"/>
      <c r="JA82" s="17"/>
      <c r="JB82" s="17"/>
      <c r="JC82" s="17"/>
      <c r="JD82" s="17"/>
      <c r="JE82" s="17"/>
      <c r="JF82" s="17"/>
      <c r="JG82" s="17"/>
      <c r="JH82" s="17"/>
      <c r="JI82" s="17"/>
      <c r="JJ82" s="17"/>
      <c r="JK82" s="17"/>
      <c r="JL82" s="17"/>
      <c r="JM82" s="17"/>
      <c r="JN82" s="17"/>
      <c r="JO82" s="17"/>
      <c r="JP82" s="17"/>
      <c r="JQ82" s="17"/>
      <c r="JR82" s="17"/>
      <c r="JS82" s="17"/>
      <c r="JT82" s="19"/>
      <c r="JU82" s="17"/>
      <c r="JV82" s="17"/>
      <c r="JW82" s="17"/>
      <c r="JX82" s="17"/>
      <c r="JY82" s="17"/>
      <c r="JZ82" s="17"/>
      <c r="KA82" s="17"/>
      <c r="KB82" s="17"/>
      <c r="KC82" s="17"/>
      <c r="KD82" s="17"/>
      <c r="KE82" s="17"/>
      <c r="KF82" s="17"/>
      <c r="KG82" s="17"/>
      <c r="KH82" s="17"/>
      <c r="KI82" s="17"/>
      <c r="KJ82" s="17"/>
      <c r="KK82" s="17"/>
      <c r="KL82" s="17"/>
      <c r="KM82" s="17"/>
      <c r="KN82" s="17"/>
      <c r="KO82" s="17"/>
      <c r="KP82" s="17"/>
      <c r="KQ82" s="17"/>
      <c r="KR82" s="17"/>
      <c r="KS82" s="17"/>
      <c r="KT82" s="17"/>
      <c r="KU82" s="17"/>
      <c r="KV82" s="17"/>
      <c r="KW82" s="17"/>
      <c r="KX82" s="17"/>
      <c r="KY82" s="19"/>
      <c r="KZ82" s="17"/>
      <c r="LA82" s="17"/>
      <c r="LB82" s="17"/>
      <c r="LC82" s="17"/>
      <c r="LD82" s="17"/>
      <c r="LE82" s="17"/>
      <c r="LF82" s="17"/>
      <c r="LG82" s="17"/>
      <c r="LH82" s="17"/>
      <c r="LI82" s="17"/>
      <c r="LJ82" s="17"/>
      <c r="LK82" s="17"/>
      <c r="LL82" s="17"/>
      <c r="LM82" s="17"/>
      <c r="LN82" s="17"/>
      <c r="LO82" s="17"/>
      <c r="LP82" s="17"/>
      <c r="LQ82" s="17"/>
      <c r="LR82" s="17"/>
      <c r="LS82" s="17"/>
      <c r="LT82" s="17"/>
      <c r="LU82" s="17"/>
      <c r="LV82" s="17"/>
      <c r="LW82" s="17"/>
      <c r="LX82" s="17"/>
      <c r="LY82" s="17"/>
      <c r="LZ82" s="17"/>
      <c r="MA82" s="17"/>
      <c r="MB82" s="17"/>
      <c r="MC82" s="19"/>
      <c r="MD82" s="17"/>
      <c r="ME82" s="17"/>
      <c r="MF82" s="17"/>
      <c r="MG82" s="17"/>
      <c r="MH82" s="17"/>
      <c r="MI82" s="17"/>
      <c r="MJ82" s="17"/>
      <c r="MK82" s="17"/>
      <c r="ML82" s="17"/>
      <c r="MM82" s="17"/>
      <c r="MN82" s="17"/>
      <c r="MO82" s="17"/>
      <c r="MP82" s="17"/>
      <c r="MQ82" s="17"/>
      <c r="MR82" s="17"/>
      <c r="MS82" s="17"/>
      <c r="MT82" s="17"/>
      <c r="MU82" s="17"/>
      <c r="MV82" s="17"/>
      <c r="MW82" s="17"/>
      <c r="MX82" s="17"/>
      <c r="MY82" s="17"/>
      <c r="MZ82" s="17"/>
      <c r="NA82" s="17"/>
      <c r="NB82" s="17"/>
      <c r="NC82" s="17"/>
      <c r="ND82" s="17"/>
      <c r="NE82" s="17"/>
      <c r="NF82" s="17"/>
      <c r="NG82" s="18"/>
      <c r="NH82" s="21"/>
    </row>
    <row r="83" spans="1:372" ht="13.2">
      <c r="A83" s="11"/>
      <c r="B83" s="12"/>
      <c r="C83" s="49"/>
      <c r="D83" s="14"/>
      <c r="E83" s="15"/>
      <c r="F83" s="48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8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8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8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9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  <c r="EW83" s="17"/>
      <c r="EX83" s="17"/>
      <c r="EY83" s="17"/>
      <c r="EZ83" s="17"/>
      <c r="FA83" s="17"/>
      <c r="FB83" s="19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  <c r="FN83" s="17"/>
      <c r="FO83" s="17"/>
      <c r="FP83" s="17"/>
      <c r="FQ83" s="17"/>
      <c r="FR83" s="17"/>
      <c r="FS83" s="17"/>
      <c r="FT83" s="17"/>
      <c r="FU83" s="17"/>
      <c r="FV83" s="17"/>
      <c r="FW83" s="17"/>
      <c r="FX83" s="17"/>
      <c r="FY83" s="17"/>
      <c r="FZ83" s="17"/>
      <c r="GA83" s="17"/>
      <c r="GB83" s="17"/>
      <c r="GC83" s="17"/>
      <c r="GD83" s="17"/>
      <c r="GE83" s="17"/>
      <c r="GF83" s="19"/>
      <c r="GG83" s="17"/>
      <c r="GH83" s="17"/>
      <c r="GI83" s="17"/>
      <c r="GJ83" s="17"/>
      <c r="GK83" s="17"/>
      <c r="GL83" s="17"/>
      <c r="GM83" s="17"/>
      <c r="GN83" s="17"/>
      <c r="GO83" s="17"/>
      <c r="GP83" s="17"/>
      <c r="GQ83" s="17"/>
      <c r="GR83" s="17"/>
      <c r="GS83" s="17"/>
      <c r="GT83" s="17"/>
      <c r="GU83" s="17"/>
      <c r="GV83" s="17"/>
      <c r="GW83" s="17"/>
      <c r="GX83" s="17"/>
      <c r="GY83" s="17"/>
      <c r="GZ83" s="17"/>
      <c r="HA83" s="17"/>
      <c r="HB83" s="17"/>
      <c r="HC83" s="17"/>
      <c r="HD83" s="17"/>
      <c r="HE83" s="17"/>
      <c r="HF83" s="17"/>
      <c r="HG83" s="17"/>
      <c r="HH83" s="17"/>
      <c r="HI83" s="17"/>
      <c r="HJ83" s="17"/>
      <c r="HK83" s="19"/>
      <c r="HL83" s="17"/>
      <c r="HM83" s="17"/>
      <c r="HN83" s="17"/>
      <c r="HO83" s="17"/>
      <c r="HP83" s="17"/>
      <c r="HQ83" s="17"/>
      <c r="HR83" s="17"/>
      <c r="HS83" s="17"/>
      <c r="HT83" s="17"/>
      <c r="HU83" s="17"/>
      <c r="HV83" s="17"/>
      <c r="HW83" s="17"/>
      <c r="HX83" s="17"/>
      <c r="HY83" s="17"/>
      <c r="HZ83" s="17"/>
      <c r="IA83" s="17"/>
      <c r="IB83" s="17"/>
      <c r="IC83" s="17"/>
      <c r="ID83" s="17"/>
      <c r="IE83" s="17"/>
      <c r="IF83" s="17"/>
      <c r="IG83" s="17"/>
      <c r="IH83" s="17"/>
      <c r="II83" s="17"/>
      <c r="IJ83" s="17"/>
      <c r="IK83" s="17"/>
      <c r="IL83" s="17"/>
      <c r="IM83" s="17"/>
      <c r="IN83" s="17"/>
      <c r="IO83" s="17"/>
      <c r="IP83" s="19"/>
      <c r="IQ83" s="17"/>
      <c r="IR83" s="17"/>
      <c r="IS83" s="17"/>
      <c r="IT83" s="17"/>
      <c r="IU83" s="17"/>
      <c r="IV83" s="17"/>
      <c r="IW83" s="17"/>
      <c r="IX83" s="17"/>
      <c r="IY83" s="17"/>
      <c r="IZ83" s="17"/>
      <c r="JA83" s="17"/>
      <c r="JB83" s="17"/>
      <c r="JC83" s="17"/>
      <c r="JD83" s="17"/>
      <c r="JE83" s="17"/>
      <c r="JF83" s="17"/>
      <c r="JG83" s="17"/>
      <c r="JH83" s="17"/>
      <c r="JI83" s="17"/>
      <c r="JJ83" s="17"/>
      <c r="JK83" s="17"/>
      <c r="JL83" s="17"/>
      <c r="JM83" s="17"/>
      <c r="JN83" s="17"/>
      <c r="JO83" s="17"/>
      <c r="JP83" s="17"/>
      <c r="JQ83" s="17"/>
      <c r="JR83" s="17"/>
      <c r="JS83" s="17"/>
      <c r="JT83" s="19"/>
      <c r="JU83" s="17"/>
      <c r="JV83" s="17"/>
      <c r="JW83" s="17"/>
      <c r="JX83" s="17"/>
      <c r="JY83" s="17"/>
      <c r="JZ83" s="17"/>
      <c r="KA83" s="17"/>
      <c r="KB83" s="17"/>
      <c r="KC83" s="17"/>
      <c r="KD83" s="17"/>
      <c r="KE83" s="17"/>
      <c r="KF83" s="17"/>
      <c r="KG83" s="17"/>
      <c r="KH83" s="17"/>
      <c r="KI83" s="17"/>
      <c r="KJ83" s="17"/>
      <c r="KK83" s="17"/>
      <c r="KL83" s="17"/>
      <c r="KM83" s="17"/>
      <c r="KN83" s="17"/>
      <c r="KO83" s="17"/>
      <c r="KP83" s="17"/>
      <c r="KQ83" s="17"/>
      <c r="KR83" s="17"/>
      <c r="KS83" s="17"/>
      <c r="KT83" s="17"/>
      <c r="KU83" s="17"/>
      <c r="KV83" s="17"/>
      <c r="KW83" s="17"/>
      <c r="KX83" s="17"/>
      <c r="KY83" s="19"/>
      <c r="KZ83" s="17"/>
      <c r="LA83" s="17"/>
      <c r="LB83" s="17"/>
      <c r="LC83" s="17"/>
      <c r="LD83" s="17"/>
      <c r="LE83" s="17"/>
      <c r="LF83" s="17"/>
      <c r="LG83" s="17"/>
      <c r="LH83" s="17"/>
      <c r="LI83" s="17"/>
      <c r="LJ83" s="17"/>
      <c r="LK83" s="17"/>
      <c r="LL83" s="17"/>
      <c r="LM83" s="17"/>
      <c r="LN83" s="17"/>
      <c r="LO83" s="17"/>
      <c r="LP83" s="17"/>
      <c r="LQ83" s="17"/>
      <c r="LR83" s="17"/>
      <c r="LS83" s="17"/>
      <c r="LT83" s="17"/>
      <c r="LU83" s="17"/>
      <c r="LV83" s="17"/>
      <c r="LW83" s="17"/>
      <c r="LX83" s="17"/>
      <c r="LY83" s="17"/>
      <c r="LZ83" s="17"/>
      <c r="MA83" s="17"/>
      <c r="MB83" s="17"/>
      <c r="MC83" s="19"/>
      <c r="MD83" s="17"/>
      <c r="ME83" s="17"/>
      <c r="MF83" s="17"/>
      <c r="MG83" s="17"/>
      <c r="MH83" s="17"/>
      <c r="MI83" s="17"/>
      <c r="MJ83" s="17"/>
      <c r="MK83" s="17"/>
      <c r="ML83" s="17"/>
      <c r="MM83" s="17"/>
      <c r="MN83" s="17"/>
      <c r="MO83" s="17"/>
      <c r="MP83" s="17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8"/>
      <c r="NH83" s="21"/>
    </row>
    <row r="84" spans="1:372" ht="13.2">
      <c r="A84" s="11"/>
      <c r="B84" s="50"/>
      <c r="C84" s="49"/>
      <c r="D84" s="51"/>
      <c r="E84" s="52"/>
      <c r="F84" s="53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5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5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5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  <c r="DS84" s="54"/>
      <c r="DT84" s="54"/>
      <c r="DU84" s="54"/>
      <c r="DV84" s="54"/>
      <c r="DW84" s="56"/>
      <c r="DX84" s="54"/>
      <c r="DY84" s="54"/>
      <c r="DZ84" s="54"/>
      <c r="EA84" s="54"/>
      <c r="EB84" s="54"/>
      <c r="EC84" s="54"/>
      <c r="ED84" s="54"/>
      <c r="EE84" s="54"/>
      <c r="EF84" s="54"/>
      <c r="EG84" s="54"/>
      <c r="EH84" s="54"/>
      <c r="EI84" s="54"/>
      <c r="EJ84" s="54"/>
      <c r="EK84" s="54"/>
      <c r="EL84" s="54"/>
      <c r="EM84" s="54"/>
      <c r="EN84" s="54"/>
      <c r="EO84" s="54"/>
      <c r="EP84" s="54"/>
      <c r="EQ84" s="54"/>
      <c r="ER84" s="54"/>
      <c r="ES84" s="54"/>
      <c r="ET84" s="54"/>
      <c r="EU84" s="54"/>
      <c r="EV84" s="54"/>
      <c r="EW84" s="54"/>
      <c r="EX84" s="54"/>
      <c r="EY84" s="54"/>
      <c r="EZ84" s="54"/>
      <c r="FA84" s="54"/>
      <c r="FB84" s="56"/>
      <c r="FC84" s="54"/>
      <c r="FD84" s="54"/>
      <c r="FE84" s="54"/>
      <c r="FF84" s="54"/>
      <c r="FG84" s="54"/>
      <c r="FH84" s="54"/>
      <c r="FI84" s="54"/>
      <c r="FJ84" s="54"/>
      <c r="FK84" s="54"/>
      <c r="FL84" s="54"/>
      <c r="FM84" s="54"/>
      <c r="FN84" s="54"/>
      <c r="FO84" s="54"/>
      <c r="FP84" s="54"/>
      <c r="FQ84" s="54"/>
      <c r="FR84" s="54"/>
      <c r="FS84" s="54"/>
      <c r="FT84" s="54"/>
      <c r="FU84" s="54"/>
      <c r="FV84" s="54"/>
      <c r="FW84" s="54"/>
      <c r="FX84" s="54"/>
      <c r="FY84" s="54"/>
      <c r="FZ84" s="54"/>
      <c r="GA84" s="54"/>
      <c r="GB84" s="54"/>
      <c r="GC84" s="54"/>
      <c r="GD84" s="54"/>
      <c r="GE84" s="54"/>
      <c r="GF84" s="56"/>
      <c r="GG84" s="54"/>
      <c r="GH84" s="54"/>
      <c r="GI84" s="54"/>
      <c r="GJ84" s="54"/>
      <c r="GK84" s="54"/>
      <c r="GL84" s="54"/>
      <c r="GM84" s="54"/>
      <c r="GN84" s="54"/>
      <c r="GO84" s="54"/>
      <c r="GP84" s="54"/>
      <c r="GQ84" s="54"/>
      <c r="GR84" s="54"/>
      <c r="GS84" s="54"/>
      <c r="GT84" s="54"/>
      <c r="GU84" s="54"/>
      <c r="GV84" s="54"/>
      <c r="GW84" s="54"/>
      <c r="GX84" s="54"/>
      <c r="GY84" s="54"/>
      <c r="GZ84" s="54"/>
      <c r="HA84" s="54"/>
      <c r="HB84" s="54"/>
      <c r="HC84" s="54"/>
      <c r="HD84" s="54"/>
      <c r="HE84" s="54"/>
      <c r="HF84" s="54"/>
      <c r="HG84" s="54"/>
      <c r="HH84" s="54"/>
      <c r="HI84" s="54"/>
      <c r="HJ84" s="54"/>
      <c r="HK84" s="56"/>
      <c r="HL84" s="54"/>
      <c r="HM84" s="54"/>
      <c r="HN84" s="54"/>
      <c r="HO84" s="54"/>
      <c r="HP84" s="54"/>
      <c r="HQ84" s="54"/>
      <c r="HR84" s="54"/>
      <c r="HS84" s="54"/>
      <c r="HT84" s="54"/>
      <c r="HU84" s="54"/>
      <c r="HV84" s="54"/>
      <c r="HW84" s="54"/>
      <c r="HX84" s="54"/>
      <c r="HY84" s="54"/>
      <c r="HZ84" s="54"/>
      <c r="IA84" s="54"/>
      <c r="IB84" s="54"/>
      <c r="IC84" s="54"/>
      <c r="ID84" s="54"/>
      <c r="IE84" s="54"/>
      <c r="IF84" s="54"/>
      <c r="IG84" s="54"/>
      <c r="IH84" s="54"/>
      <c r="II84" s="54"/>
      <c r="IJ84" s="54"/>
      <c r="IK84" s="54"/>
      <c r="IL84" s="54"/>
      <c r="IM84" s="54"/>
      <c r="IN84" s="54"/>
      <c r="IO84" s="54"/>
      <c r="IP84" s="56"/>
      <c r="IQ84" s="54"/>
      <c r="IR84" s="54"/>
      <c r="IS84" s="54"/>
      <c r="IT84" s="54"/>
      <c r="IU84" s="54"/>
      <c r="IV84" s="54"/>
      <c r="IW84" s="54"/>
      <c r="IX84" s="54"/>
      <c r="IY84" s="54"/>
      <c r="IZ84" s="54"/>
      <c r="JA84" s="54"/>
      <c r="JB84" s="54"/>
      <c r="JC84" s="54"/>
      <c r="JD84" s="54"/>
      <c r="JE84" s="54"/>
      <c r="JF84" s="54"/>
      <c r="JG84" s="54"/>
      <c r="JH84" s="54"/>
      <c r="JI84" s="54"/>
      <c r="JJ84" s="54"/>
      <c r="JK84" s="54"/>
      <c r="JL84" s="54"/>
      <c r="JM84" s="54"/>
      <c r="JN84" s="54"/>
      <c r="JO84" s="54"/>
      <c r="JP84" s="54"/>
      <c r="JQ84" s="54"/>
      <c r="JR84" s="54"/>
      <c r="JS84" s="54"/>
      <c r="JT84" s="56"/>
      <c r="JU84" s="54"/>
      <c r="JV84" s="54"/>
      <c r="JW84" s="54"/>
      <c r="JX84" s="54"/>
      <c r="JY84" s="54"/>
      <c r="JZ84" s="54"/>
      <c r="KA84" s="54"/>
      <c r="KB84" s="54"/>
      <c r="KC84" s="54"/>
      <c r="KD84" s="54"/>
      <c r="KE84" s="54"/>
      <c r="KF84" s="54"/>
      <c r="KG84" s="54"/>
      <c r="KH84" s="54"/>
      <c r="KI84" s="54"/>
      <c r="KJ84" s="54"/>
      <c r="KK84" s="54"/>
      <c r="KL84" s="54"/>
      <c r="KM84" s="54"/>
      <c r="KN84" s="54"/>
      <c r="KO84" s="54"/>
      <c r="KP84" s="54"/>
      <c r="KQ84" s="54"/>
      <c r="KR84" s="54"/>
      <c r="KS84" s="54"/>
      <c r="KT84" s="54"/>
      <c r="KU84" s="54"/>
      <c r="KV84" s="54"/>
      <c r="KW84" s="54"/>
      <c r="KX84" s="54"/>
      <c r="KY84" s="56"/>
      <c r="KZ84" s="54"/>
      <c r="LA84" s="54"/>
      <c r="LB84" s="54"/>
      <c r="LC84" s="54"/>
      <c r="LD84" s="54"/>
      <c r="LE84" s="54"/>
      <c r="LF84" s="54"/>
      <c r="LG84" s="54"/>
      <c r="LH84" s="54"/>
      <c r="LI84" s="54"/>
      <c r="LJ84" s="54"/>
      <c r="LK84" s="54"/>
      <c r="LL84" s="54"/>
      <c r="LM84" s="54"/>
      <c r="LN84" s="54"/>
      <c r="LO84" s="54"/>
      <c r="LP84" s="54"/>
      <c r="LQ84" s="54"/>
      <c r="LR84" s="54"/>
      <c r="LS84" s="54"/>
      <c r="LT84" s="54"/>
      <c r="LU84" s="54"/>
      <c r="LV84" s="54"/>
      <c r="LW84" s="54"/>
      <c r="LX84" s="54"/>
      <c r="LY84" s="54"/>
      <c r="LZ84" s="54"/>
      <c r="MA84" s="54"/>
      <c r="MB84" s="54"/>
      <c r="MC84" s="56"/>
      <c r="MD84" s="54"/>
      <c r="ME84" s="54"/>
      <c r="MF84" s="54"/>
      <c r="MG84" s="54"/>
      <c r="MH84" s="54"/>
      <c r="MI84" s="54"/>
      <c r="MJ84" s="54"/>
      <c r="MK84" s="54"/>
      <c r="ML84" s="54"/>
      <c r="MM84" s="54"/>
      <c r="MN84" s="54"/>
      <c r="MO84" s="54"/>
      <c r="MP84" s="54"/>
      <c r="MQ84" s="54"/>
      <c r="MR84" s="54"/>
      <c r="MS84" s="54"/>
      <c r="MT84" s="54"/>
      <c r="MU84" s="54"/>
      <c r="MV84" s="54"/>
      <c r="MW84" s="54"/>
      <c r="MX84" s="54"/>
      <c r="MY84" s="54"/>
      <c r="MZ84" s="54"/>
      <c r="NA84" s="54"/>
      <c r="NB84" s="54"/>
      <c r="NC84" s="54"/>
      <c r="ND84" s="54"/>
      <c r="NE84" s="54"/>
      <c r="NF84" s="54"/>
      <c r="NG84" s="55"/>
      <c r="NH84" s="21"/>
    </row>
    <row r="85" spans="1:372" ht="13.2">
      <c r="A85" s="11"/>
      <c r="B85" s="50"/>
      <c r="C85" s="49"/>
      <c r="D85" s="51"/>
      <c r="E85" s="52"/>
      <c r="F85" s="53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5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5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5"/>
      <c r="CS85" s="54"/>
      <c r="CT85" s="54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  <c r="DK85" s="54"/>
      <c r="DL85" s="54"/>
      <c r="DM85" s="54"/>
      <c r="DN85" s="54"/>
      <c r="DO85" s="54"/>
      <c r="DP85" s="54"/>
      <c r="DQ85" s="54"/>
      <c r="DR85" s="54"/>
      <c r="DS85" s="54"/>
      <c r="DT85" s="54"/>
      <c r="DU85" s="54"/>
      <c r="DV85" s="54"/>
      <c r="DW85" s="56"/>
      <c r="DX85" s="54"/>
      <c r="DY85" s="54"/>
      <c r="DZ85" s="54"/>
      <c r="EA85" s="54"/>
      <c r="EB85" s="54"/>
      <c r="EC85" s="54"/>
      <c r="ED85" s="54"/>
      <c r="EE85" s="54"/>
      <c r="EF85" s="54"/>
      <c r="EG85" s="54"/>
      <c r="EH85" s="54"/>
      <c r="EI85" s="54"/>
      <c r="EJ85" s="54"/>
      <c r="EK85" s="54"/>
      <c r="EL85" s="54"/>
      <c r="EM85" s="54"/>
      <c r="EN85" s="54"/>
      <c r="EO85" s="54"/>
      <c r="EP85" s="54"/>
      <c r="EQ85" s="54"/>
      <c r="ER85" s="54"/>
      <c r="ES85" s="54"/>
      <c r="ET85" s="54"/>
      <c r="EU85" s="54"/>
      <c r="EV85" s="54"/>
      <c r="EW85" s="54"/>
      <c r="EX85" s="54"/>
      <c r="EY85" s="54"/>
      <c r="EZ85" s="54"/>
      <c r="FA85" s="54"/>
      <c r="FB85" s="56"/>
      <c r="FC85" s="54"/>
      <c r="FD85" s="54"/>
      <c r="FE85" s="54"/>
      <c r="FF85" s="54"/>
      <c r="FG85" s="54"/>
      <c r="FH85" s="54"/>
      <c r="FI85" s="54"/>
      <c r="FJ85" s="54"/>
      <c r="FK85" s="54"/>
      <c r="FL85" s="54"/>
      <c r="FM85" s="54"/>
      <c r="FN85" s="54"/>
      <c r="FO85" s="54"/>
      <c r="FP85" s="54"/>
      <c r="FQ85" s="54"/>
      <c r="FR85" s="54"/>
      <c r="FS85" s="54"/>
      <c r="FT85" s="54"/>
      <c r="FU85" s="54"/>
      <c r="FV85" s="54"/>
      <c r="FW85" s="54"/>
      <c r="FX85" s="54"/>
      <c r="FY85" s="54"/>
      <c r="FZ85" s="54"/>
      <c r="GA85" s="54"/>
      <c r="GB85" s="54"/>
      <c r="GC85" s="54"/>
      <c r="GD85" s="54"/>
      <c r="GE85" s="54"/>
      <c r="GF85" s="56"/>
      <c r="GG85" s="54"/>
      <c r="GH85" s="54"/>
      <c r="GI85" s="54"/>
      <c r="GJ85" s="54"/>
      <c r="GK85" s="54"/>
      <c r="GL85" s="54"/>
      <c r="GM85" s="54"/>
      <c r="GN85" s="54"/>
      <c r="GO85" s="54"/>
      <c r="GP85" s="54"/>
      <c r="GQ85" s="54"/>
      <c r="GR85" s="54"/>
      <c r="GS85" s="54"/>
      <c r="GT85" s="54"/>
      <c r="GU85" s="54"/>
      <c r="GV85" s="54"/>
      <c r="GW85" s="54"/>
      <c r="GX85" s="54"/>
      <c r="GY85" s="54"/>
      <c r="GZ85" s="54"/>
      <c r="HA85" s="54"/>
      <c r="HB85" s="54"/>
      <c r="HC85" s="54"/>
      <c r="HD85" s="54"/>
      <c r="HE85" s="54"/>
      <c r="HF85" s="54"/>
      <c r="HG85" s="54"/>
      <c r="HH85" s="54"/>
      <c r="HI85" s="54"/>
      <c r="HJ85" s="54"/>
      <c r="HK85" s="56"/>
      <c r="HL85" s="54"/>
      <c r="HM85" s="54"/>
      <c r="HN85" s="54"/>
      <c r="HO85" s="54"/>
      <c r="HP85" s="54"/>
      <c r="HQ85" s="54"/>
      <c r="HR85" s="54"/>
      <c r="HS85" s="54"/>
      <c r="HT85" s="54"/>
      <c r="HU85" s="54"/>
      <c r="HV85" s="54"/>
      <c r="HW85" s="54"/>
      <c r="HX85" s="54"/>
      <c r="HY85" s="54"/>
      <c r="HZ85" s="54"/>
      <c r="IA85" s="54"/>
      <c r="IB85" s="54"/>
      <c r="IC85" s="54"/>
      <c r="ID85" s="54"/>
      <c r="IE85" s="54"/>
      <c r="IF85" s="54"/>
      <c r="IG85" s="54"/>
      <c r="IH85" s="54"/>
      <c r="II85" s="54"/>
      <c r="IJ85" s="54"/>
      <c r="IK85" s="54"/>
      <c r="IL85" s="54"/>
      <c r="IM85" s="54"/>
      <c r="IN85" s="54"/>
      <c r="IO85" s="54"/>
      <c r="IP85" s="56"/>
      <c r="IQ85" s="54"/>
      <c r="IR85" s="54"/>
      <c r="IS85" s="54"/>
      <c r="IT85" s="54"/>
      <c r="IU85" s="54"/>
      <c r="IV85" s="54"/>
      <c r="IW85" s="54"/>
      <c r="IX85" s="54"/>
      <c r="IY85" s="54"/>
      <c r="IZ85" s="54"/>
      <c r="JA85" s="54"/>
      <c r="JB85" s="54"/>
      <c r="JC85" s="54"/>
      <c r="JD85" s="54"/>
      <c r="JE85" s="54"/>
      <c r="JF85" s="54"/>
      <c r="JG85" s="54"/>
      <c r="JH85" s="54"/>
      <c r="JI85" s="54"/>
      <c r="JJ85" s="54"/>
      <c r="JK85" s="54"/>
      <c r="JL85" s="54"/>
      <c r="JM85" s="54"/>
      <c r="JN85" s="54"/>
      <c r="JO85" s="54"/>
      <c r="JP85" s="54"/>
      <c r="JQ85" s="54"/>
      <c r="JR85" s="54"/>
      <c r="JS85" s="54"/>
      <c r="JT85" s="56"/>
      <c r="JU85" s="54"/>
      <c r="JV85" s="54"/>
      <c r="JW85" s="54"/>
      <c r="JX85" s="54"/>
      <c r="JY85" s="54"/>
      <c r="JZ85" s="54"/>
      <c r="KA85" s="54"/>
      <c r="KB85" s="54"/>
      <c r="KC85" s="54"/>
      <c r="KD85" s="54"/>
      <c r="KE85" s="54"/>
      <c r="KF85" s="54"/>
      <c r="KG85" s="54"/>
      <c r="KH85" s="54"/>
      <c r="KI85" s="54"/>
      <c r="KJ85" s="54"/>
      <c r="KK85" s="54"/>
      <c r="KL85" s="54"/>
      <c r="KM85" s="54"/>
      <c r="KN85" s="54"/>
      <c r="KO85" s="54"/>
      <c r="KP85" s="54"/>
      <c r="KQ85" s="54"/>
      <c r="KR85" s="54"/>
      <c r="KS85" s="54"/>
      <c r="KT85" s="54"/>
      <c r="KU85" s="54"/>
      <c r="KV85" s="54"/>
      <c r="KW85" s="54"/>
      <c r="KX85" s="54"/>
      <c r="KY85" s="56"/>
      <c r="KZ85" s="54"/>
      <c r="LA85" s="54"/>
      <c r="LB85" s="54"/>
      <c r="LC85" s="54"/>
      <c r="LD85" s="54"/>
      <c r="LE85" s="54"/>
      <c r="LF85" s="54"/>
      <c r="LG85" s="54"/>
      <c r="LH85" s="54"/>
      <c r="LI85" s="54"/>
      <c r="LJ85" s="54"/>
      <c r="LK85" s="54"/>
      <c r="LL85" s="54"/>
      <c r="LM85" s="54"/>
      <c r="LN85" s="54"/>
      <c r="LO85" s="54"/>
      <c r="LP85" s="54"/>
      <c r="LQ85" s="54"/>
      <c r="LR85" s="54"/>
      <c r="LS85" s="54"/>
      <c r="LT85" s="54"/>
      <c r="LU85" s="54"/>
      <c r="LV85" s="54"/>
      <c r="LW85" s="54"/>
      <c r="LX85" s="54"/>
      <c r="LY85" s="54"/>
      <c r="LZ85" s="54"/>
      <c r="MA85" s="54"/>
      <c r="MB85" s="54"/>
      <c r="MC85" s="56"/>
      <c r="MD85" s="54"/>
      <c r="ME85" s="54"/>
      <c r="MF85" s="54"/>
      <c r="MG85" s="54"/>
      <c r="MH85" s="54"/>
      <c r="MI85" s="54"/>
      <c r="MJ85" s="54"/>
      <c r="MK85" s="54"/>
      <c r="ML85" s="54"/>
      <c r="MM85" s="54"/>
      <c r="MN85" s="54"/>
      <c r="MO85" s="54"/>
      <c r="MP85" s="54"/>
      <c r="MQ85" s="54"/>
      <c r="MR85" s="54"/>
      <c r="MS85" s="54"/>
      <c r="MT85" s="54"/>
      <c r="MU85" s="54"/>
      <c r="MV85" s="54"/>
      <c r="MW85" s="54"/>
      <c r="MX85" s="54"/>
      <c r="MY85" s="54"/>
      <c r="MZ85" s="54"/>
      <c r="NA85" s="54"/>
      <c r="NB85" s="54"/>
      <c r="NC85" s="54"/>
      <c r="ND85" s="54"/>
      <c r="NE85" s="54"/>
      <c r="NF85" s="54"/>
      <c r="NG85" s="55"/>
      <c r="NH85" s="21"/>
    </row>
    <row r="86" spans="1:372" ht="13.2">
      <c r="A86" s="11"/>
      <c r="B86" s="50"/>
      <c r="C86" s="49"/>
      <c r="D86" s="51"/>
      <c r="E86" s="52"/>
      <c r="F86" s="53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5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5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5"/>
      <c r="CS86" s="54"/>
      <c r="CT86" s="54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  <c r="DK86" s="54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4"/>
      <c r="DW86" s="56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4"/>
      <c r="EI86" s="54"/>
      <c r="EJ86" s="54"/>
      <c r="EK86" s="54"/>
      <c r="EL86" s="54"/>
      <c r="EM86" s="54"/>
      <c r="EN86" s="54"/>
      <c r="EO86" s="54"/>
      <c r="EP86" s="54"/>
      <c r="EQ86" s="54"/>
      <c r="ER86" s="54"/>
      <c r="ES86" s="54"/>
      <c r="ET86" s="54"/>
      <c r="EU86" s="54"/>
      <c r="EV86" s="54"/>
      <c r="EW86" s="54"/>
      <c r="EX86" s="54"/>
      <c r="EY86" s="54"/>
      <c r="EZ86" s="54"/>
      <c r="FA86" s="54"/>
      <c r="FB86" s="56"/>
      <c r="FC86" s="54"/>
      <c r="FD86" s="54"/>
      <c r="FE86" s="54"/>
      <c r="FF86" s="54"/>
      <c r="FG86" s="54"/>
      <c r="FH86" s="54"/>
      <c r="FI86" s="54"/>
      <c r="FJ86" s="54"/>
      <c r="FK86" s="54"/>
      <c r="FL86" s="54"/>
      <c r="FM86" s="54"/>
      <c r="FN86" s="54"/>
      <c r="FO86" s="54"/>
      <c r="FP86" s="54"/>
      <c r="FQ86" s="54"/>
      <c r="FR86" s="54"/>
      <c r="FS86" s="54"/>
      <c r="FT86" s="54"/>
      <c r="FU86" s="54"/>
      <c r="FV86" s="54"/>
      <c r="FW86" s="54"/>
      <c r="FX86" s="54"/>
      <c r="FY86" s="54"/>
      <c r="FZ86" s="54"/>
      <c r="GA86" s="54"/>
      <c r="GB86" s="54"/>
      <c r="GC86" s="54"/>
      <c r="GD86" s="54"/>
      <c r="GE86" s="54"/>
      <c r="GF86" s="56"/>
      <c r="GG86" s="54"/>
      <c r="GH86" s="54"/>
      <c r="GI86" s="54"/>
      <c r="GJ86" s="54"/>
      <c r="GK86" s="54"/>
      <c r="GL86" s="54"/>
      <c r="GM86" s="54"/>
      <c r="GN86" s="54"/>
      <c r="GO86" s="54"/>
      <c r="GP86" s="54"/>
      <c r="GQ86" s="54"/>
      <c r="GR86" s="54"/>
      <c r="GS86" s="54"/>
      <c r="GT86" s="54"/>
      <c r="GU86" s="54"/>
      <c r="GV86" s="54"/>
      <c r="GW86" s="54"/>
      <c r="GX86" s="54"/>
      <c r="GY86" s="54"/>
      <c r="GZ86" s="54"/>
      <c r="HA86" s="54"/>
      <c r="HB86" s="54"/>
      <c r="HC86" s="54"/>
      <c r="HD86" s="54"/>
      <c r="HE86" s="54"/>
      <c r="HF86" s="54"/>
      <c r="HG86" s="54"/>
      <c r="HH86" s="54"/>
      <c r="HI86" s="54"/>
      <c r="HJ86" s="54"/>
      <c r="HK86" s="56"/>
      <c r="HL86" s="54"/>
      <c r="HM86" s="54"/>
      <c r="HN86" s="54"/>
      <c r="HO86" s="54"/>
      <c r="HP86" s="54"/>
      <c r="HQ86" s="54"/>
      <c r="HR86" s="54"/>
      <c r="HS86" s="54"/>
      <c r="HT86" s="54"/>
      <c r="HU86" s="54"/>
      <c r="HV86" s="54"/>
      <c r="HW86" s="54"/>
      <c r="HX86" s="54"/>
      <c r="HY86" s="54"/>
      <c r="HZ86" s="54"/>
      <c r="IA86" s="54"/>
      <c r="IB86" s="54"/>
      <c r="IC86" s="54"/>
      <c r="ID86" s="54"/>
      <c r="IE86" s="54"/>
      <c r="IF86" s="54"/>
      <c r="IG86" s="54"/>
      <c r="IH86" s="54"/>
      <c r="II86" s="54"/>
      <c r="IJ86" s="54"/>
      <c r="IK86" s="54"/>
      <c r="IL86" s="54"/>
      <c r="IM86" s="54"/>
      <c r="IN86" s="54"/>
      <c r="IO86" s="54"/>
      <c r="IP86" s="56"/>
      <c r="IQ86" s="54"/>
      <c r="IR86" s="54"/>
      <c r="IS86" s="54"/>
      <c r="IT86" s="54"/>
      <c r="IU86" s="54"/>
      <c r="IV86" s="54"/>
      <c r="IW86" s="54"/>
      <c r="IX86" s="54"/>
      <c r="IY86" s="54"/>
      <c r="IZ86" s="54"/>
      <c r="JA86" s="54"/>
      <c r="JB86" s="54"/>
      <c r="JC86" s="54"/>
      <c r="JD86" s="54"/>
      <c r="JE86" s="54"/>
      <c r="JF86" s="54"/>
      <c r="JG86" s="54"/>
      <c r="JH86" s="54"/>
      <c r="JI86" s="54"/>
      <c r="JJ86" s="54"/>
      <c r="JK86" s="54"/>
      <c r="JL86" s="54"/>
      <c r="JM86" s="54"/>
      <c r="JN86" s="54"/>
      <c r="JO86" s="54"/>
      <c r="JP86" s="54"/>
      <c r="JQ86" s="54"/>
      <c r="JR86" s="54"/>
      <c r="JS86" s="54"/>
      <c r="JT86" s="56"/>
      <c r="JU86" s="54"/>
      <c r="JV86" s="54"/>
      <c r="JW86" s="54"/>
      <c r="JX86" s="54"/>
      <c r="JY86" s="54"/>
      <c r="JZ86" s="54"/>
      <c r="KA86" s="54"/>
      <c r="KB86" s="54"/>
      <c r="KC86" s="54"/>
      <c r="KD86" s="54"/>
      <c r="KE86" s="54"/>
      <c r="KF86" s="54"/>
      <c r="KG86" s="54"/>
      <c r="KH86" s="54"/>
      <c r="KI86" s="54"/>
      <c r="KJ86" s="54"/>
      <c r="KK86" s="54"/>
      <c r="KL86" s="54"/>
      <c r="KM86" s="54"/>
      <c r="KN86" s="54"/>
      <c r="KO86" s="54"/>
      <c r="KP86" s="54"/>
      <c r="KQ86" s="54"/>
      <c r="KR86" s="54"/>
      <c r="KS86" s="54"/>
      <c r="KT86" s="54"/>
      <c r="KU86" s="54"/>
      <c r="KV86" s="54"/>
      <c r="KW86" s="54"/>
      <c r="KX86" s="54"/>
      <c r="KY86" s="56"/>
      <c r="KZ86" s="54"/>
      <c r="LA86" s="54"/>
      <c r="LB86" s="54"/>
      <c r="LC86" s="54"/>
      <c r="LD86" s="54"/>
      <c r="LE86" s="54"/>
      <c r="LF86" s="54"/>
      <c r="LG86" s="54"/>
      <c r="LH86" s="54"/>
      <c r="LI86" s="54"/>
      <c r="LJ86" s="54"/>
      <c r="LK86" s="54"/>
      <c r="LL86" s="54"/>
      <c r="LM86" s="54"/>
      <c r="LN86" s="54"/>
      <c r="LO86" s="54"/>
      <c r="LP86" s="54"/>
      <c r="LQ86" s="54"/>
      <c r="LR86" s="54"/>
      <c r="LS86" s="54"/>
      <c r="LT86" s="54"/>
      <c r="LU86" s="54"/>
      <c r="LV86" s="54"/>
      <c r="LW86" s="54"/>
      <c r="LX86" s="54"/>
      <c r="LY86" s="54"/>
      <c r="LZ86" s="54"/>
      <c r="MA86" s="54"/>
      <c r="MB86" s="54"/>
      <c r="MC86" s="56"/>
      <c r="MD86" s="54"/>
      <c r="ME86" s="54"/>
      <c r="MF86" s="54"/>
      <c r="MG86" s="54"/>
      <c r="MH86" s="54"/>
      <c r="MI86" s="54"/>
      <c r="MJ86" s="54"/>
      <c r="MK86" s="54"/>
      <c r="ML86" s="54"/>
      <c r="MM86" s="54"/>
      <c r="MN86" s="54"/>
      <c r="MO86" s="54"/>
      <c r="MP86" s="54"/>
      <c r="MQ86" s="54"/>
      <c r="MR86" s="54"/>
      <c r="MS86" s="54"/>
      <c r="MT86" s="54"/>
      <c r="MU86" s="54"/>
      <c r="MV86" s="54"/>
      <c r="MW86" s="54"/>
      <c r="MX86" s="54"/>
      <c r="MY86" s="54"/>
      <c r="MZ86" s="54"/>
      <c r="NA86" s="54"/>
      <c r="NB86" s="54"/>
      <c r="NC86" s="54"/>
      <c r="ND86" s="54"/>
      <c r="NE86" s="54"/>
      <c r="NF86" s="54"/>
      <c r="NG86" s="55"/>
      <c r="NH86" s="21"/>
    </row>
    <row r="87" spans="1:372" ht="13.2">
      <c r="A87" s="11"/>
      <c r="B87" s="50"/>
      <c r="C87" s="49"/>
      <c r="D87" s="51"/>
      <c r="E87" s="52"/>
      <c r="F87" s="53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5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5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5"/>
      <c r="CS87" s="54"/>
      <c r="CT87" s="54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  <c r="DK87" s="54"/>
      <c r="DL87" s="54"/>
      <c r="DM87" s="54"/>
      <c r="DN87" s="54"/>
      <c r="DO87" s="54"/>
      <c r="DP87" s="54"/>
      <c r="DQ87" s="54"/>
      <c r="DR87" s="54"/>
      <c r="DS87" s="54"/>
      <c r="DT87" s="54"/>
      <c r="DU87" s="54"/>
      <c r="DV87" s="54"/>
      <c r="DW87" s="56"/>
      <c r="DX87" s="54"/>
      <c r="DY87" s="54"/>
      <c r="DZ87" s="54"/>
      <c r="EA87" s="54"/>
      <c r="EB87" s="54"/>
      <c r="EC87" s="54"/>
      <c r="ED87" s="54"/>
      <c r="EE87" s="54"/>
      <c r="EF87" s="54"/>
      <c r="EG87" s="54"/>
      <c r="EH87" s="54"/>
      <c r="EI87" s="54"/>
      <c r="EJ87" s="54"/>
      <c r="EK87" s="54"/>
      <c r="EL87" s="54"/>
      <c r="EM87" s="54"/>
      <c r="EN87" s="54"/>
      <c r="EO87" s="54"/>
      <c r="EP87" s="54"/>
      <c r="EQ87" s="54"/>
      <c r="ER87" s="54"/>
      <c r="ES87" s="54"/>
      <c r="ET87" s="54"/>
      <c r="EU87" s="54"/>
      <c r="EV87" s="54"/>
      <c r="EW87" s="54"/>
      <c r="EX87" s="54"/>
      <c r="EY87" s="54"/>
      <c r="EZ87" s="54"/>
      <c r="FA87" s="54"/>
      <c r="FB87" s="56"/>
      <c r="FC87" s="54"/>
      <c r="FD87" s="54"/>
      <c r="FE87" s="54"/>
      <c r="FF87" s="54"/>
      <c r="FG87" s="54"/>
      <c r="FH87" s="54"/>
      <c r="FI87" s="54"/>
      <c r="FJ87" s="54"/>
      <c r="FK87" s="54"/>
      <c r="FL87" s="54"/>
      <c r="FM87" s="54"/>
      <c r="FN87" s="54"/>
      <c r="FO87" s="54"/>
      <c r="FP87" s="54"/>
      <c r="FQ87" s="54"/>
      <c r="FR87" s="54"/>
      <c r="FS87" s="54"/>
      <c r="FT87" s="54"/>
      <c r="FU87" s="54"/>
      <c r="FV87" s="54"/>
      <c r="FW87" s="54"/>
      <c r="FX87" s="54"/>
      <c r="FY87" s="54"/>
      <c r="FZ87" s="54"/>
      <c r="GA87" s="54"/>
      <c r="GB87" s="54"/>
      <c r="GC87" s="54"/>
      <c r="GD87" s="54"/>
      <c r="GE87" s="54"/>
      <c r="GF87" s="56"/>
      <c r="GG87" s="54"/>
      <c r="GH87" s="54"/>
      <c r="GI87" s="54"/>
      <c r="GJ87" s="54"/>
      <c r="GK87" s="54"/>
      <c r="GL87" s="54"/>
      <c r="GM87" s="54"/>
      <c r="GN87" s="54"/>
      <c r="GO87" s="54"/>
      <c r="GP87" s="54"/>
      <c r="GQ87" s="54"/>
      <c r="GR87" s="54"/>
      <c r="GS87" s="54"/>
      <c r="GT87" s="54"/>
      <c r="GU87" s="54"/>
      <c r="GV87" s="54"/>
      <c r="GW87" s="54"/>
      <c r="GX87" s="54"/>
      <c r="GY87" s="54"/>
      <c r="GZ87" s="54"/>
      <c r="HA87" s="54"/>
      <c r="HB87" s="54"/>
      <c r="HC87" s="54"/>
      <c r="HD87" s="54"/>
      <c r="HE87" s="54"/>
      <c r="HF87" s="54"/>
      <c r="HG87" s="54"/>
      <c r="HH87" s="54"/>
      <c r="HI87" s="54"/>
      <c r="HJ87" s="54"/>
      <c r="HK87" s="56"/>
      <c r="HL87" s="54"/>
      <c r="HM87" s="54"/>
      <c r="HN87" s="54"/>
      <c r="HO87" s="54"/>
      <c r="HP87" s="54"/>
      <c r="HQ87" s="54"/>
      <c r="HR87" s="54"/>
      <c r="HS87" s="54"/>
      <c r="HT87" s="54"/>
      <c r="HU87" s="54"/>
      <c r="HV87" s="54"/>
      <c r="HW87" s="54"/>
      <c r="HX87" s="54"/>
      <c r="HY87" s="54"/>
      <c r="HZ87" s="54"/>
      <c r="IA87" s="54"/>
      <c r="IB87" s="54"/>
      <c r="IC87" s="54"/>
      <c r="ID87" s="54"/>
      <c r="IE87" s="54"/>
      <c r="IF87" s="54"/>
      <c r="IG87" s="54"/>
      <c r="IH87" s="54"/>
      <c r="II87" s="54"/>
      <c r="IJ87" s="54"/>
      <c r="IK87" s="54"/>
      <c r="IL87" s="54"/>
      <c r="IM87" s="54"/>
      <c r="IN87" s="54"/>
      <c r="IO87" s="54"/>
      <c r="IP87" s="56"/>
      <c r="IQ87" s="54"/>
      <c r="IR87" s="54"/>
      <c r="IS87" s="54"/>
      <c r="IT87" s="54"/>
      <c r="IU87" s="54"/>
      <c r="IV87" s="54"/>
      <c r="IW87" s="54"/>
      <c r="IX87" s="54"/>
      <c r="IY87" s="54"/>
      <c r="IZ87" s="54"/>
      <c r="JA87" s="54"/>
      <c r="JB87" s="54"/>
      <c r="JC87" s="54"/>
      <c r="JD87" s="54"/>
      <c r="JE87" s="54"/>
      <c r="JF87" s="54"/>
      <c r="JG87" s="54"/>
      <c r="JH87" s="54"/>
      <c r="JI87" s="54"/>
      <c r="JJ87" s="54"/>
      <c r="JK87" s="54"/>
      <c r="JL87" s="54"/>
      <c r="JM87" s="54"/>
      <c r="JN87" s="54"/>
      <c r="JO87" s="54"/>
      <c r="JP87" s="54"/>
      <c r="JQ87" s="54"/>
      <c r="JR87" s="54"/>
      <c r="JS87" s="54"/>
      <c r="JT87" s="56"/>
      <c r="JU87" s="54"/>
      <c r="JV87" s="54"/>
      <c r="JW87" s="54"/>
      <c r="JX87" s="54"/>
      <c r="JY87" s="54"/>
      <c r="JZ87" s="54"/>
      <c r="KA87" s="54"/>
      <c r="KB87" s="54"/>
      <c r="KC87" s="54"/>
      <c r="KD87" s="54"/>
      <c r="KE87" s="54"/>
      <c r="KF87" s="54"/>
      <c r="KG87" s="54"/>
      <c r="KH87" s="54"/>
      <c r="KI87" s="54"/>
      <c r="KJ87" s="54"/>
      <c r="KK87" s="54"/>
      <c r="KL87" s="54"/>
      <c r="KM87" s="54"/>
      <c r="KN87" s="54"/>
      <c r="KO87" s="54"/>
      <c r="KP87" s="54"/>
      <c r="KQ87" s="54"/>
      <c r="KR87" s="54"/>
      <c r="KS87" s="54"/>
      <c r="KT87" s="54"/>
      <c r="KU87" s="54"/>
      <c r="KV87" s="54"/>
      <c r="KW87" s="54"/>
      <c r="KX87" s="54"/>
      <c r="KY87" s="56"/>
      <c r="KZ87" s="54"/>
      <c r="LA87" s="54"/>
      <c r="LB87" s="54"/>
      <c r="LC87" s="54"/>
      <c r="LD87" s="54"/>
      <c r="LE87" s="54"/>
      <c r="LF87" s="54"/>
      <c r="LG87" s="54"/>
      <c r="LH87" s="54"/>
      <c r="LI87" s="54"/>
      <c r="LJ87" s="54"/>
      <c r="LK87" s="54"/>
      <c r="LL87" s="54"/>
      <c r="LM87" s="54"/>
      <c r="LN87" s="54"/>
      <c r="LO87" s="54"/>
      <c r="LP87" s="54"/>
      <c r="LQ87" s="54"/>
      <c r="LR87" s="54"/>
      <c r="LS87" s="54"/>
      <c r="LT87" s="54"/>
      <c r="LU87" s="54"/>
      <c r="LV87" s="54"/>
      <c r="LW87" s="54"/>
      <c r="LX87" s="54"/>
      <c r="LY87" s="54"/>
      <c r="LZ87" s="54"/>
      <c r="MA87" s="54"/>
      <c r="MB87" s="54"/>
      <c r="MC87" s="56"/>
      <c r="MD87" s="54"/>
      <c r="ME87" s="54"/>
      <c r="MF87" s="54"/>
      <c r="MG87" s="54"/>
      <c r="MH87" s="54"/>
      <c r="MI87" s="54"/>
      <c r="MJ87" s="54"/>
      <c r="MK87" s="54"/>
      <c r="ML87" s="54"/>
      <c r="MM87" s="54"/>
      <c r="MN87" s="54"/>
      <c r="MO87" s="54"/>
      <c r="MP87" s="54"/>
      <c r="MQ87" s="54"/>
      <c r="MR87" s="54"/>
      <c r="MS87" s="54"/>
      <c r="MT87" s="54"/>
      <c r="MU87" s="54"/>
      <c r="MV87" s="54"/>
      <c r="MW87" s="54"/>
      <c r="MX87" s="54"/>
      <c r="MY87" s="54"/>
      <c r="MZ87" s="54"/>
      <c r="NA87" s="54"/>
      <c r="NB87" s="54"/>
      <c r="NC87" s="54"/>
      <c r="ND87" s="54"/>
      <c r="NE87" s="54"/>
      <c r="NF87" s="54"/>
      <c r="NG87" s="55"/>
      <c r="NH87" s="21"/>
    </row>
    <row r="88" spans="1:372" ht="13.2">
      <c r="A88" s="11"/>
      <c r="B88" s="50"/>
      <c r="C88" s="49"/>
      <c r="D88" s="51"/>
      <c r="E88" s="52"/>
      <c r="F88" s="53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5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5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5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  <c r="DS88" s="54"/>
      <c r="DT88" s="54"/>
      <c r="DU88" s="54"/>
      <c r="DV88" s="54"/>
      <c r="DW88" s="56"/>
      <c r="DX88" s="54"/>
      <c r="DY88" s="54"/>
      <c r="DZ88" s="54"/>
      <c r="EA88" s="54"/>
      <c r="EB88" s="54"/>
      <c r="EC88" s="54"/>
      <c r="ED88" s="54"/>
      <c r="EE88" s="54"/>
      <c r="EF88" s="54"/>
      <c r="EG88" s="54"/>
      <c r="EH88" s="54"/>
      <c r="EI88" s="54"/>
      <c r="EJ88" s="54"/>
      <c r="EK88" s="54"/>
      <c r="EL88" s="54"/>
      <c r="EM88" s="54"/>
      <c r="EN88" s="54"/>
      <c r="EO88" s="54"/>
      <c r="EP88" s="54"/>
      <c r="EQ88" s="54"/>
      <c r="ER88" s="54"/>
      <c r="ES88" s="54"/>
      <c r="ET88" s="54"/>
      <c r="EU88" s="54"/>
      <c r="EV88" s="54"/>
      <c r="EW88" s="54"/>
      <c r="EX88" s="54"/>
      <c r="EY88" s="54"/>
      <c r="EZ88" s="54"/>
      <c r="FA88" s="54"/>
      <c r="FB88" s="56"/>
      <c r="FC88" s="54"/>
      <c r="FD88" s="54"/>
      <c r="FE88" s="54"/>
      <c r="FF88" s="54"/>
      <c r="FG88" s="54"/>
      <c r="FH88" s="54"/>
      <c r="FI88" s="54"/>
      <c r="FJ88" s="54"/>
      <c r="FK88" s="54"/>
      <c r="FL88" s="54"/>
      <c r="FM88" s="54"/>
      <c r="FN88" s="54"/>
      <c r="FO88" s="54"/>
      <c r="FP88" s="54"/>
      <c r="FQ88" s="54"/>
      <c r="FR88" s="54"/>
      <c r="FS88" s="54"/>
      <c r="FT88" s="54"/>
      <c r="FU88" s="54"/>
      <c r="FV88" s="54"/>
      <c r="FW88" s="54"/>
      <c r="FX88" s="54"/>
      <c r="FY88" s="54"/>
      <c r="FZ88" s="54"/>
      <c r="GA88" s="54"/>
      <c r="GB88" s="54"/>
      <c r="GC88" s="54"/>
      <c r="GD88" s="54"/>
      <c r="GE88" s="54"/>
      <c r="GF88" s="56"/>
      <c r="GG88" s="54"/>
      <c r="GH88" s="54"/>
      <c r="GI88" s="54"/>
      <c r="GJ88" s="54"/>
      <c r="GK88" s="54"/>
      <c r="GL88" s="54"/>
      <c r="GM88" s="54"/>
      <c r="GN88" s="54"/>
      <c r="GO88" s="54"/>
      <c r="GP88" s="54"/>
      <c r="GQ88" s="54"/>
      <c r="GR88" s="54"/>
      <c r="GS88" s="54"/>
      <c r="GT88" s="54"/>
      <c r="GU88" s="54"/>
      <c r="GV88" s="54"/>
      <c r="GW88" s="54"/>
      <c r="GX88" s="54"/>
      <c r="GY88" s="54"/>
      <c r="GZ88" s="54"/>
      <c r="HA88" s="54"/>
      <c r="HB88" s="54"/>
      <c r="HC88" s="54"/>
      <c r="HD88" s="54"/>
      <c r="HE88" s="54"/>
      <c r="HF88" s="54"/>
      <c r="HG88" s="54"/>
      <c r="HH88" s="54"/>
      <c r="HI88" s="54"/>
      <c r="HJ88" s="54"/>
      <c r="HK88" s="56"/>
      <c r="HL88" s="54"/>
      <c r="HM88" s="54"/>
      <c r="HN88" s="54"/>
      <c r="HO88" s="54"/>
      <c r="HP88" s="54"/>
      <c r="HQ88" s="54"/>
      <c r="HR88" s="54"/>
      <c r="HS88" s="54"/>
      <c r="HT88" s="54"/>
      <c r="HU88" s="54"/>
      <c r="HV88" s="54"/>
      <c r="HW88" s="54"/>
      <c r="HX88" s="54"/>
      <c r="HY88" s="54"/>
      <c r="HZ88" s="54"/>
      <c r="IA88" s="54"/>
      <c r="IB88" s="54"/>
      <c r="IC88" s="54"/>
      <c r="ID88" s="54"/>
      <c r="IE88" s="54"/>
      <c r="IF88" s="54"/>
      <c r="IG88" s="54"/>
      <c r="IH88" s="54"/>
      <c r="II88" s="54"/>
      <c r="IJ88" s="54"/>
      <c r="IK88" s="54"/>
      <c r="IL88" s="54"/>
      <c r="IM88" s="54"/>
      <c r="IN88" s="54"/>
      <c r="IO88" s="54"/>
      <c r="IP88" s="56"/>
      <c r="IQ88" s="54"/>
      <c r="IR88" s="54"/>
      <c r="IS88" s="54"/>
      <c r="IT88" s="54"/>
      <c r="IU88" s="54"/>
      <c r="IV88" s="54"/>
      <c r="IW88" s="54"/>
      <c r="IX88" s="54"/>
      <c r="IY88" s="54"/>
      <c r="IZ88" s="54"/>
      <c r="JA88" s="54"/>
      <c r="JB88" s="54"/>
      <c r="JC88" s="54"/>
      <c r="JD88" s="54"/>
      <c r="JE88" s="54"/>
      <c r="JF88" s="54"/>
      <c r="JG88" s="54"/>
      <c r="JH88" s="54"/>
      <c r="JI88" s="54"/>
      <c r="JJ88" s="54"/>
      <c r="JK88" s="54"/>
      <c r="JL88" s="54"/>
      <c r="JM88" s="54"/>
      <c r="JN88" s="54"/>
      <c r="JO88" s="54"/>
      <c r="JP88" s="54"/>
      <c r="JQ88" s="54"/>
      <c r="JR88" s="54"/>
      <c r="JS88" s="54"/>
      <c r="JT88" s="56"/>
      <c r="JU88" s="54"/>
      <c r="JV88" s="54"/>
      <c r="JW88" s="54"/>
      <c r="JX88" s="54"/>
      <c r="JY88" s="54"/>
      <c r="JZ88" s="54"/>
      <c r="KA88" s="54"/>
      <c r="KB88" s="54"/>
      <c r="KC88" s="54"/>
      <c r="KD88" s="54"/>
      <c r="KE88" s="54"/>
      <c r="KF88" s="54"/>
      <c r="KG88" s="54"/>
      <c r="KH88" s="54"/>
      <c r="KI88" s="54"/>
      <c r="KJ88" s="54"/>
      <c r="KK88" s="54"/>
      <c r="KL88" s="54"/>
      <c r="KM88" s="54"/>
      <c r="KN88" s="54"/>
      <c r="KO88" s="54"/>
      <c r="KP88" s="54"/>
      <c r="KQ88" s="54"/>
      <c r="KR88" s="54"/>
      <c r="KS88" s="54"/>
      <c r="KT88" s="54"/>
      <c r="KU88" s="54"/>
      <c r="KV88" s="54"/>
      <c r="KW88" s="54"/>
      <c r="KX88" s="54"/>
      <c r="KY88" s="56"/>
      <c r="KZ88" s="54"/>
      <c r="LA88" s="54"/>
      <c r="LB88" s="54"/>
      <c r="LC88" s="54"/>
      <c r="LD88" s="54"/>
      <c r="LE88" s="54"/>
      <c r="LF88" s="54"/>
      <c r="LG88" s="54"/>
      <c r="LH88" s="54"/>
      <c r="LI88" s="54"/>
      <c r="LJ88" s="54"/>
      <c r="LK88" s="54"/>
      <c r="LL88" s="54"/>
      <c r="LM88" s="54"/>
      <c r="LN88" s="54"/>
      <c r="LO88" s="54"/>
      <c r="LP88" s="54"/>
      <c r="LQ88" s="54"/>
      <c r="LR88" s="54"/>
      <c r="LS88" s="54"/>
      <c r="LT88" s="54"/>
      <c r="LU88" s="54"/>
      <c r="LV88" s="54"/>
      <c r="LW88" s="54"/>
      <c r="LX88" s="54"/>
      <c r="LY88" s="54"/>
      <c r="LZ88" s="54"/>
      <c r="MA88" s="54"/>
      <c r="MB88" s="54"/>
      <c r="MC88" s="56"/>
      <c r="MD88" s="54"/>
      <c r="ME88" s="54"/>
      <c r="MF88" s="54"/>
      <c r="MG88" s="54"/>
      <c r="MH88" s="54"/>
      <c r="MI88" s="54"/>
      <c r="MJ88" s="54"/>
      <c r="MK88" s="54"/>
      <c r="ML88" s="54"/>
      <c r="MM88" s="54"/>
      <c r="MN88" s="54"/>
      <c r="MO88" s="54"/>
      <c r="MP88" s="54"/>
      <c r="MQ88" s="54"/>
      <c r="MR88" s="54"/>
      <c r="MS88" s="54"/>
      <c r="MT88" s="54"/>
      <c r="MU88" s="54"/>
      <c r="MV88" s="54"/>
      <c r="MW88" s="54"/>
      <c r="MX88" s="54"/>
      <c r="MY88" s="54"/>
      <c r="MZ88" s="54"/>
      <c r="NA88" s="54"/>
      <c r="NB88" s="54"/>
      <c r="NC88" s="54"/>
      <c r="ND88" s="54"/>
      <c r="NE88" s="54"/>
      <c r="NF88" s="54"/>
      <c r="NG88" s="55"/>
      <c r="NH88" s="21"/>
    </row>
    <row r="89" spans="1:372" ht="13.2">
      <c r="A89" s="11"/>
      <c r="B89" s="50"/>
      <c r="C89" s="49"/>
      <c r="D89" s="51"/>
      <c r="E89" s="52"/>
      <c r="F89" s="53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5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5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5"/>
      <c r="CS89" s="54"/>
      <c r="CT89" s="54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  <c r="DK89" s="54"/>
      <c r="DL89" s="54"/>
      <c r="DM89" s="54"/>
      <c r="DN89" s="54"/>
      <c r="DO89" s="54"/>
      <c r="DP89" s="54"/>
      <c r="DQ89" s="54"/>
      <c r="DR89" s="54"/>
      <c r="DS89" s="54"/>
      <c r="DT89" s="54"/>
      <c r="DU89" s="54"/>
      <c r="DV89" s="54"/>
      <c r="DW89" s="56"/>
      <c r="DX89" s="54"/>
      <c r="DY89" s="54"/>
      <c r="DZ89" s="54"/>
      <c r="EA89" s="54"/>
      <c r="EB89" s="54"/>
      <c r="EC89" s="54"/>
      <c r="ED89" s="54"/>
      <c r="EE89" s="54"/>
      <c r="EF89" s="54"/>
      <c r="EG89" s="54"/>
      <c r="EH89" s="54"/>
      <c r="EI89" s="54"/>
      <c r="EJ89" s="54"/>
      <c r="EK89" s="54"/>
      <c r="EL89" s="54"/>
      <c r="EM89" s="54"/>
      <c r="EN89" s="54"/>
      <c r="EO89" s="54"/>
      <c r="EP89" s="54"/>
      <c r="EQ89" s="54"/>
      <c r="ER89" s="54"/>
      <c r="ES89" s="54"/>
      <c r="ET89" s="54"/>
      <c r="EU89" s="54"/>
      <c r="EV89" s="54"/>
      <c r="EW89" s="54"/>
      <c r="EX89" s="54"/>
      <c r="EY89" s="54"/>
      <c r="EZ89" s="54"/>
      <c r="FA89" s="54"/>
      <c r="FB89" s="56"/>
      <c r="FC89" s="54"/>
      <c r="FD89" s="54"/>
      <c r="FE89" s="54"/>
      <c r="FF89" s="54"/>
      <c r="FG89" s="54"/>
      <c r="FH89" s="54"/>
      <c r="FI89" s="54"/>
      <c r="FJ89" s="54"/>
      <c r="FK89" s="54"/>
      <c r="FL89" s="54"/>
      <c r="FM89" s="54"/>
      <c r="FN89" s="54"/>
      <c r="FO89" s="54"/>
      <c r="FP89" s="54"/>
      <c r="FQ89" s="54"/>
      <c r="FR89" s="54"/>
      <c r="FS89" s="54"/>
      <c r="FT89" s="54"/>
      <c r="FU89" s="54"/>
      <c r="FV89" s="54"/>
      <c r="FW89" s="54"/>
      <c r="FX89" s="54"/>
      <c r="FY89" s="54"/>
      <c r="FZ89" s="54"/>
      <c r="GA89" s="54"/>
      <c r="GB89" s="54"/>
      <c r="GC89" s="54"/>
      <c r="GD89" s="54"/>
      <c r="GE89" s="54"/>
      <c r="GF89" s="56"/>
      <c r="GG89" s="54"/>
      <c r="GH89" s="54"/>
      <c r="GI89" s="54"/>
      <c r="GJ89" s="54"/>
      <c r="GK89" s="54"/>
      <c r="GL89" s="54"/>
      <c r="GM89" s="54"/>
      <c r="GN89" s="54"/>
      <c r="GO89" s="54"/>
      <c r="GP89" s="54"/>
      <c r="GQ89" s="54"/>
      <c r="GR89" s="54"/>
      <c r="GS89" s="54"/>
      <c r="GT89" s="54"/>
      <c r="GU89" s="54"/>
      <c r="GV89" s="54"/>
      <c r="GW89" s="54"/>
      <c r="GX89" s="54"/>
      <c r="GY89" s="54"/>
      <c r="GZ89" s="54"/>
      <c r="HA89" s="54"/>
      <c r="HB89" s="54"/>
      <c r="HC89" s="54"/>
      <c r="HD89" s="54"/>
      <c r="HE89" s="54"/>
      <c r="HF89" s="54"/>
      <c r="HG89" s="54"/>
      <c r="HH89" s="54"/>
      <c r="HI89" s="54"/>
      <c r="HJ89" s="54"/>
      <c r="HK89" s="56"/>
      <c r="HL89" s="54"/>
      <c r="HM89" s="54"/>
      <c r="HN89" s="54"/>
      <c r="HO89" s="54"/>
      <c r="HP89" s="54"/>
      <c r="HQ89" s="54"/>
      <c r="HR89" s="54"/>
      <c r="HS89" s="54"/>
      <c r="HT89" s="54"/>
      <c r="HU89" s="54"/>
      <c r="HV89" s="54"/>
      <c r="HW89" s="54"/>
      <c r="HX89" s="54"/>
      <c r="HY89" s="54"/>
      <c r="HZ89" s="54"/>
      <c r="IA89" s="54"/>
      <c r="IB89" s="54"/>
      <c r="IC89" s="54"/>
      <c r="ID89" s="54"/>
      <c r="IE89" s="54"/>
      <c r="IF89" s="54"/>
      <c r="IG89" s="54"/>
      <c r="IH89" s="54"/>
      <c r="II89" s="54"/>
      <c r="IJ89" s="54"/>
      <c r="IK89" s="54"/>
      <c r="IL89" s="54"/>
      <c r="IM89" s="54"/>
      <c r="IN89" s="54"/>
      <c r="IO89" s="54"/>
      <c r="IP89" s="56"/>
      <c r="IQ89" s="54"/>
      <c r="IR89" s="54"/>
      <c r="IS89" s="54"/>
      <c r="IT89" s="54"/>
      <c r="IU89" s="54"/>
      <c r="IV89" s="54"/>
      <c r="IW89" s="54"/>
      <c r="IX89" s="54"/>
      <c r="IY89" s="54"/>
      <c r="IZ89" s="54"/>
      <c r="JA89" s="54"/>
      <c r="JB89" s="54"/>
      <c r="JC89" s="54"/>
      <c r="JD89" s="54"/>
      <c r="JE89" s="54"/>
      <c r="JF89" s="54"/>
      <c r="JG89" s="54"/>
      <c r="JH89" s="54"/>
      <c r="JI89" s="54"/>
      <c r="JJ89" s="54"/>
      <c r="JK89" s="54"/>
      <c r="JL89" s="54"/>
      <c r="JM89" s="54"/>
      <c r="JN89" s="54"/>
      <c r="JO89" s="54"/>
      <c r="JP89" s="54"/>
      <c r="JQ89" s="54"/>
      <c r="JR89" s="54"/>
      <c r="JS89" s="54"/>
      <c r="JT89" s="56"/>
      <c r="JU89" s="54"/>
      <c r="JV89" s="54"/>
      <c r="JW89" s="54"/>
      <c r="JX89" s="54"/>
      <c r="JY89" s="54"/>
      <c r="JZ89" s="54"/>
      <c r="KA89" s="54"/>
      <c r="KB89" s="54"/>
      <c r="KC89" s="54"/>
      <c r="KD89" s="54"/>
      <c r="KE89" s="54"/>
      <c r="KF89" s="54"/>
      <c r="KG89" s="54"/>
      <c r="KH89" s="54"/>
      <c r="KI89" s="54"/>
      <c r="KJ89" s="54"/>
      <c r="KK89" s="54"/>
      <c r="KL89" s="54"/>
      <c r="KM89" s="54"/>
      <c r="KN89" s="54"/>
      <c r="KO89" s="54"/>
      <c r="KP89" s="54"/>
      <c r="KQ89" s="54"/>
      <c r="KR89" s="54"/>
      <c r="KS89" s="54"/>
      <c r="KT89" s="54"/>
      <c r="KU89" s="54"/>
      <c r="KV89" s="54"/>
      <c r="KW89" s="54"/>
      <c r="KX89" s="54"/>
      <c r="KY89" s="56"/>
      <c r="KZ89" s="54"/>
      <c r="LA89" s="54"/>
      <c r="LB89" s="54"/>
      <c r="LC89" s="54"/>
      <c r="LD89" s="54"/>
      <c r="LE89" s="54"/>
      <c r="LF89" s="54"/>
      <c r="LG89" s="54"/>
      <c r="LH89" s="54"/>
      <c r="LI89" s="54"/>
      <c r="LJ89" s="54"/>
      <c r="LK89" s="54"/>
      <c r="LL89" s="54"/>
      <c r="LM89" s="54"/>
      <c r="LN89" s="54"/>
      <c r="LO89" s="54"/>
      <c r="LP89" s="54"/>
      <c r="LQ89" s="54"/>
      <c r="LR89" s="54"/>
      <c r="LS89" s="54"/>
      <c r="LT89" s="54"/>
      <c r="LU89" s="54"/>
      <c r="LV89" s="54"/>
      <c r="LW89" s="54"/>
      <c r="LX89" s="54"/>
      <c r="LY89" s="54"/>
      <c r="LZ89" s="54"/>
      <c r="MA89" s="54"/>
      <c r="MB89" s="54"/>
      <c r="MC89" s="56"/>
      <c r="MD89" s="54"/>
      <c r="ME89" s="54"/>
      <c r="MF89" s="54"/>
      <c r="MG89" s="54"/>
      <c r="MH89" s="54"/>
      <c r="MI89" s="54"/>
      <c r="MJ89" s="54"/>
      <c r="MK89" s="54"/>
      <c r="ML89" s="54"/>
      <c r="MM89" s="54"/>
      <c r="MN89" s="54"/>
      <c r="MO89" s="54"/>
      <c r="MP89" s="54"/>
      <c r="MQ89" s="54"/>
      <c r="MR89" s="54"/>
      <c r="MS89" s="54"/>
      <c r="MT89" s="54"/>
      <c r="MU89" s="54"/>
      <c r="MV89" s="54"/>
      <c r="MW89" s="54"/>
      <c r="MX89" s="54"/>
      <c r="MY89" s="54"/>
      <c r="MZ89" s="54"/>
      <c r="NA89" s="54"/>
      <c r="NB89" s="54"/>
      <c r="NC89" s="54"/>
      <c r="ND89" s="54"/>
      <c r="NE89" s="54"/>
      <c r="NF89" s="54"/>
      <c r="NG89" s="55"/>
      <c r="NH89" s="21"/>
    </row>
    <row r="90" spans="1:372" ht="13.2">
      <c r="A90" s="11"/>
      <c r="B90" s="57"/>
      <c r="C90" s="58"/>
      <c r="D90" s="59"/>
      <c r="E90" s="60"/>
      <c r="F90" s="61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3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3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3"/>
      <c r="CS90" s="62"/>
      <c r="CT90" s="62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  <c r="DK90" s="62"/>
      <c r="DL90" s="62"/>
      <c r="DM90" s="62"/>
      <c r="DN90" s="62"/>
      <c r="DO90" s="62"/>
      <c r="DP90" s="62"/>
      <c r="DQ90" s="62"/>
      <c r="DR90" s="62"/>
      <c r="DS90" s="62"/>
      <c r="DT90" s="62"/>
      <c r="DU90" s="62"/>
      <c r="DV90" s="62"/>
      <c r="DW90" s="64"/>
      <c r="DX90" s="62"/>
      <c r="DY90" s="62"/>
      <c r="DZ90" s="62"/>
      <c r="EA90" s="62"/>
      <c r="EB90" s="62"/>
      <c r="EC90" s="62"/>
      <c r="ED90" s="62"/>
      <c r="EE90" s="62"/>
      <c r="EF90" s="62"/>
      <c r="EG90" s="62"/>
      <c r="EH90" s="62"/>
      <c r="EI90" s="62"/>
      <c r="EJ90" s="62"/>
      <c r="EK90" s="62"/>
      <c r="EL90" s="62"/>
      <c r="EM90" s="62"/>
      <c r="EN90" s="62"/>
      <c r="EO90" s="62"/>
      <c r="EP90" s="62"/>
      <c r="EQ90" s="62"/>
      <c r="ER90" s="62"/>
      <c r="ES90" s="62"/>
      <c r="ET90" s="62"/>
      <c r="EU90" s="62"/>
      <c r="EV90" s="62"/>
      <c r="EW90" s="62"/>
      <c r="EX90" s="62"/>
      <c r="EY90" s="62"/>
      <c r="EZ90" s="62"/>
      <c r="FA90" s="62"/>
      <c r="FB90" s="64"/>
      <c r="FC90" s="62"/>
      <c r="FD90" s="62"/>
      <c r="FE90" s="62"/>
      <c r="FF90" s="62"/>
      <c r="FG90" s="62"/>
      <c r="FH90" s="62"/>
      <c r="FI90" s="62"/>
      <c r="FJ90" s="62"/>
      <c r="FK90" s="62"/>
      <c r="FL90" s="62"/>
      <c r="FM90" s="62"/>
      <c r="FN90" s="62"/>
      <c r="FO90" s="62"/>
      <c r="FP90" s="62"/>
      <c r="FQ90" s="62"/>
      <c r="FR90" s="62"/>
      <c r="FS90" s="62"/>
      <c r="FT90" s="62"/>
      <c r="FU90" s="62"/>
      <c r="FV90" s="62"/>
      <c r="FW90" s="62"/>
      <c r="FX90" s="62"/>
      <c r="FY90" s="62"/>
      <c r="FZ90" s="62"/>
      <c r="GA90" s="62"/>
      <c r="GB90" s="62"/>
      <c r="GC90" s="62"/>
      <c r="GD90" s="62"/>
      <c r="GE90" s="62"/>
      <c r="GF90" s="64"/>
      <c r="GG90" s="62"/>
      <c r="GH90" s="62"/>
      <c r="GI90" s="62"/>
      <c r="GJ90" s="62"/>
      <c r="GK90" s="62"/>
      <c r="GL90" s="62"/>
      <c r="GM90" s="62"/>
      <c r="GN90" s="62"/>
      <c r="GO90" s="62"/>
      <c r="GP90" s="62"/>
      <c r="GQ90" s="62"/>
      <c r="GR90" s="62"/>
      <c r="GS90" s="62"/>
      <c r="GT90" s="62"/>
      <c r="GU90" s="62"/>
      <c r="GV90" s="62"/>
      <c r="GW90" s="62"/>
      <c r="GX90" s="62"/>
      <c r="GY90" s="62"/>
      <c r="GZ90" s="62"/>
      <c r="HA90" s="62"/>
      <c r="HB90" s="62"/>
      <c r="HC90" s="62"/>
      <c r="HD90" s="62"/>
      <c r="HE90" s="62"/>
      <c r="HF90" s="62"/>
      <c r="HG90" s="62"/>
      <c r="HH90" s="62"/>
      <c r="HI90" s="62"/>
      <c r="HJ90" s="62"/>
      <c r="HK90" s="64"/>
      <c r="HL90" s="62"/>
      <c r="HM90" s="62"/>
      <c r="HN90" s="62"/>
      <c r="HO90" s="62"/>
      <c r="HP90" s="62"/>
      <c r="HQ90" s="62"/>
      <c r="HR90" s="62"/>
      <c r="HS90" s="62"/>
      <c r="HT90" s="62"/>
      <c r="HU90" s="62"/>
      <c r="HV90" s="62"/>
      <c r="HW90" s="62"/>
      <c r="HX90" s="62"/>
      <c r="HY90" s="62"/>
      <c r="HZ90" s="62"/>
      <c r="IA90" s="62"/>
      <c r="IB90" s="62"/>
      <c r="IC90" s="62"/>
      <c r="ID90" s="62"/>
      <c r="IE90" s="62"/>
      <c r="IF90" s="62"/>
      <c r="IG90" s="62"/>
      <c r="IH90" s="62"/>
      <c r="II90" s="62"/>
      <c r="IJ90" s="62"/>
      <c r="IK90" s="62"/>
      <c r="IL90" s="62"/>
      <c r="IM90" s="62"/>
      <c r="IN90" s="62"/>
      <c r="IO90" s="62"/>
      <c r="IP90" s="64"/>
      <c r="IQ90" s="62"/>
      <c r="IR90" s="62"/>
      <c r="IS90" s="62"/>
      <c r="IT90" s="62"/>
      <c r="IU90" s="62"/>
      <c r="IV90" s="62"/>
      <c r="IW90" s="62"/>
      <c r="IX90" s="62"/>
      <c r="IY90" s="62"/>
      <c r="IZ90" s="62"/>
      <c r="JA90" s="62"/>
      <c r="JB90" s="62"/>
      <c r="JC90" s="62"/>
      <c r="JD90" s="62"/>
      <c r="JE90" s="62"/>
      <c r="JF90" s="62"/>
      <c r="JG90" s="62"/>
      <c r="JH90" s="62"/>
      <c r="JI90" s="62"/>
      <c r="JJ90" s="62"/>
      <c r="JK90" s="62"/>
      <c r="JL90" s="62"/>
      <c r="JM90" s="62"/>
      <c r="JN90" s="62"/>
      <c r="JO90" s="62"/>
      <c r="JP90" s="62"/>
      <c r="JQ90" s="62"/>
      <c r="JR90" s="62"/>
      <c r="JS90" s="62"/>
      <c r="JT90" s="64"/>
      <c r="JU90" s="62"/>
      <c r="JV90" s="62"/>
      <c r="JW90" s="62"/>
      <c r="JX90" s="62"/>
      <c r="JY90" s="62"/>
      <c r="JZ90" s="62"/>
      <c r="KA90" s="62"/>
      <c r="KB90" s="62"/>
      <c r="KC90" s="62"/>
      <c r="KD90" s="62"/>
      <c r="KE90" s="62"/>
      <c r="KF90" s="62"/>
      <c r="KG90" s="62"/>
      <c r="KH90" s="62"/>
      <c r="KI90" s="62"/>
      <c r="KJ90" s="62"/>
      <c r="KK90" s="62"/>
      <c r="KL90" s="62"/>
      <c r="KM90" s="62"/>
      <c r="KN90" s="62"/>
      <c r="KO90" s="62"/>
      <c r="KP90" s="62"/>
      <c r="KQ90" s="62"/>
      <c r="KR90" s="62"/>
      <c r="KS90" s="62"/>
      <c r="KT90" s="62"/>
      <c r="KU90" s="62"/>
      <c r="KV90" s="62"/>
      <c r="KW90" s="62"/>
      <c r="KX90" s="62"/>
      <c r="KY90" s="64"/>
      <c r="KZ90" s="62"/>
      <c r="LA90" s="62"/>
      <c r="LB90" s="62"/>
      <c r="LC90" s="62"/>
      <c r="LD90" s="62"/>
      <c r="LE90" s="62"/>
      <c r="LF90" s="62"/>
      <c r="LG90" s="62"/>
      <c r="LH90" s="62"/>
      <c r="LI90" s="62"/>
      <c r="LJ90" s="62"/>
      <c r="LK90" s="62"/>
      <c r="LL90" s="62"/>
      <c r="LM90" s="62"/>
      <c r="LN90" s="62"/>
      <c r="LO90" s="62"/>
      <c r="LP90" s="62"/>
      <c r="LQ90" s="62"/>
      <c r="LR90" s="62"/>
      <c r="LS90" s="62"/>
      <c r="LT90" s="62"/>
      <c r="LU90" s="62"/>
      <c r="LV90" s="62"/>
      <c r="LW90" s="62"/>
      <c r="LX90" s="62"/>
      <c r="LY90" s="62"/>
      <c r="LZ90" s="62"/>
      <c r="MA90" s="62"/>
      <c r="MB90" s="62"/>
      <c r="MC90" s="64"/>
      <c r="MD90" s="62"/>
      <c r="ME90" s="62"/>
      <c r="MF90" s="62"/>
      <c r="MG90" s="62"/>
      <c r="MH90" s="62"/>
      <c r="MI90" s="62"/>
      <c r="MJ90" s="62"/>
      <c r="MK90" s="62"/>
      <c r="ML90" s="62"/>
      <c r="MM90" s="62"/>
      <c r="MN90" s="62"/>
      <c r="MO90" s="62"/>
      <c r="MP90" s="62"/>
      <c r="MQ90" s="62"/>
      <c r="MR90" s="62"/>
      <c r="MS90" s="62"/>
      <c r="MT90" s="62"/>
      <c r="MU90" s="62"/>
      <c r="MV90" s="62"/>
      <c r="MW90" s="62"/>
      <c r="MX90" s="62"/>
      <c r="MY90" s="62"/>
      <c r="MZ90" s="62"/>
      <c r="NA90" s="62"/>
      <c r="NB90" s="62"/>
      <c r="NC90" s="62"/>
      <c r="ND90" s="62"/>
      <c r="NE90" s="62"/>
      <c r="NF90" s="62"/>
      <c r="NG90" s="63"/>
      <c r="NH90" s="21"/>
    </row>
    <row r="91" spans="1:372" ht="13.2">
      <c r="A91" s="1"/>
      <c r="B91" s="1"/>
      <c r="C91" s="33"/>
      <c r="D91" s="30"/>
      <c r="E91" s="30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</row>
    <row r="92" spans="1:372" ht="13.2">
      <c r="A92" s="1"/>
      <c r="B92" s="1"/>
      <c r="C92" s="33"/>
      <c r="D92" s="30"/>
      <c r="E92" s="30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</row>
    <row r="93" spans="1:372" ht="13.2">
      <c r="A93" s="1"/>
      <c r="B93" s="1"/>
      <c r="C93" s="33"/>
      <c r="D93" s="30"/>
      <c r="E93" s="30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</row>
    <row r="94" spans="1:372" ht="13.2">
      <c r="A94" s="1"/>
      <c r="B94" s="1"/>
      <c r="C94" s="3"/>
      <c r="D94" s="30"/>
      <c r="E94" s="30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</row>
    <row r="95" spans="1:372" ht="13.2">
      <c r="A95" s="1"/>
      <c r="B95" s="65" t="s">
        <v>76</v>
      </c>
      <c r="C95" s="3"/>
      <c r="D95" s="30"/>
      <c r="E95" s="30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</row>
    <row r="96" spans="1:372" ht="13.2">
      <c r="A96" s="1"/>
      <c r="B96" s="65"/>
      <c r="C96" s="3"/>
      <c r="D96" s="30"/>
      <c r="E96" s="30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</row>
    <row r="97" spans="1:372" ht="13.2">
      <c r="A97" s="1"/>
      <c r="B97" s="65"/>
      <c r="C97" s="1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</row>
    <row r="98" spans="1:372" ht="13.2">
      <c r="A98" s="1"/>
      <c r="B98" s="65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</row>
    <row r="99" spans="1:372" ht="13.2">
      <c r="A99" s="1"/>
      <c r="B99" s="65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</row>
    <row r="100" spans="1:372" ht="13.2">
      <c r="A100" s="1"/>
      <c r="B100" s="65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</row>
    <row r="101" spans="1:372" ht="13.2">
      <c r="A101" s="1"/>
      <c r="B101" s="65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</row>
    <row r="102" spans="1:372" ht="13.2">
      <c r="A102" s="1"/>
      <c r="B102" s="65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</row>
    <row r="103" spans="1:372" ht="13.2">
      <c r="A103" s="1"/>
      <c r="B103" s="65"/>
      <c r="C103" s="1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</row>
    <row r="104" spans="1:372" ht="13.2">
      <c r="A104" s="1"/>
      <c r="B104" s="65"/>
      <c r="C104" s="1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</row>
    <row r="105" spans="1:372" ht="13.2">
      <c r="A105" s="1"/>
      <c r="B105" s="65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</row>
    <row r="106" spans="1:372" ht="13.2">
      <c r="A106" s="1"/>
      <c r="B106" s="65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</row>
    <row r="107" spans="1:372" ht="13.2">
      <c r="A107" s="1"/>
      <c r="B107" s="65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</row>
    <row r="108" spans="1:372" ht="13.2">
      <c r="A108" s="1"/>
      <c r="B108" s="65"/>
      <c r="C108" s="1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</row>
    <row r="109" spans="1:372" ht="13.2">
      <c r="A109" s="1"/>
      <c r="B109" s="65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</row>
    <row r="110" spans="1:372" ht="13.2">
      <c r="A110" s="1"/>
      <c r="B110" s="65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</row>
    <row r="111" spans="1:372" ht="13.2">
      <c r="A111" s="1"/>
      <c r="B111" s="65"/>
      <c r="C111" s="1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</row>
    <row r="112" spans="1:372" ht="13.2">
      <c r="A112" s="1"/>
      <c r="B112" s="65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</row>
    <row r="113" spans="1:372" ht="13.2">
      <c r="A113" s="1"/>
      <c r="B113" s="65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</row>
    <row r="114" spans="1:372" ht="13.2">
      <c r="A114" s="1"/>
      <c r="B114" s="65"/>
      <c r="C114" s="1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</row>
    <row r="115" spans="1:372" ht="13.2">
      <c r="A115" s="1"/>
      <c r="B115" s="65"/>
      <c r="C115" s="1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</row>
  </sheetData>
  <mergeCells count="18">
    <mergeCell ref="MC4:NG4"/>
    <mergeCell ref="AL4:BM4"/>
    <mergeCell ref="BN4:CR4"/>
    <mergeCell ref="CS4:DV4"/>
    <mergeCell ref="DW4:FA4"/>
    <mergeCell ref="FB4:GE4"/>
    <mergeCell ref="GF4:HJ4"/>
    <mergeCell ref="HK4:IO4"/>
    <mergeCell ref="F4:F5"/>
    <mergeCell ref="G4:AK4"/>
    <mergeCell ref="IP4:JS4"/>
    <mergeCell ref="JT4:KX4"/>
    <mergeCell ref="KY4:MB4"/>
    <mergeCell ref="B2:E2"/>
    <mergeCell ref="B4:B5"/>
    <mergeCell ref="C4:C5"/>
    <mergeCell ref="D4:D5"/>
    <mergeCell ref="E4:E5"/>
  </mergeCells>
  <phoneticPr fontId="9" type="noConversion"/>
  <conditionalFormatting sqref="A26:A28">
    <cfRule type="expression" dxfId="4" priority="1">
      <formula>OR(ISBLANK($B26)=FALSE,ISBLANK($A26)=FALSE)</formula>
    </cfRule>
  </conditionalFormatting>
  <conditionalFormatting sqref="B71:NG71">
    <cfRule type="expression" dxfId="3" priority="2">
      <formula>OR(ISBLANK($B6)=FALSE,ISBLANK($C6)=FALSE)</formula>
    </cfRule>
  </conditionalFormatting>
  <conditionalFormatting sqref="B26:B36 D26:NG36 C29:C32 A33 C34:C36">
    <cfRule type="expression" dxfId="2" priority="3">
      <formula>OR(ISBLANK($B26)=FALSE,ISBLANK($A25)=FALSE)</formula>
    </cfRule>
  </conditionalFormatting>
  <conditionalFormatting sqref="C7:C46 D7:F96 A18 A26:A28 A33 A47 C48:C96">
    <cfRule type="expression" dxfId="1" priority="4">
      <formula>ISEVEN(ROW())</formula>
    </cfRule>
  </conditionalFormatting>
  <conditionalFormatting sqref="G6:NH94">
    <cfRule type="expression" dxfId="0" priority="5">
      <formula>AND(G$5&gt;=$D6, G$5&lt;=$E6)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간트 차트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2025-10-19T11:30:01Z</dcterms:modified>
</cp:coreProperties>
</file>