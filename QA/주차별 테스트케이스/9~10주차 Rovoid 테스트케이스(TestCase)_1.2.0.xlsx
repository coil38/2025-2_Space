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4"/>
    <sheet state="visible" name="TC MAP" sheetId="2" r:id="rId5"/>
  </sheets>
  <definedNames>
    <definedName localSheetId="0" name="머릿글">TestCase!$B$1:$K$1</definedName>
  </definedNames>
  <calcPr/>
  <extLst>
    <ext uri="GoogleSheetsCustomDataVersion2">
      <go:sheetsCustomData xmlns:go="http://customooxmlschemas.google.com/" r:id="rId6" roundtripDataChecksum="2y6K/yblx9EHEWD24IrcMZ+HEcj/YNh0pNzcfaiZMR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======
ID#AAABs7L1S7Q
    (2025-10-14 05:03:27)
모듈단위 분류</t>
      </text>
    </comment>
    <comment authorId="0" ref="E1">
      <text>
        <t xml:space="preserve">======
ID#AAABs7L1S7U
    (2025-10-14 05:03:27)
사용자가 케이스의 내용을 빠르게 파악할 수 있도록 요약함</t>
      </text>
    </comment>
    <comment authorId="0" ref="C1">
      <text>
        <t xml:space="preserve">======
ID#AAABs7L1S7E
    (2025-10-14 05:03:27)
모듈의 집합을 알기 쉽도록 명칭</t>
      </text>
    </comment>
    <comment authorId="0" ref="H1">
      <text>
        <t xml:space="preserve">======
ID#AAABs7L1S7I
    (2025-10-14 05:03:27)
실행 순서에 대해 기대되는 결과를 입력</t>
      </text>
    </comment>
    <comment authorId="0" ref="J1">
      <text>
        <t xml:space="preserve">======
ID#AAABs7L1S7M
    (2025-10-14 05:03:27)
실제로 실행 순서를 실행한 결과를 입력</t>
      </text>
    </comment>
    <comment authorId="0" ref="F1">
      <text>
        <t xml:space="preserve">======
ID#AAABs7L1S7A
    (2025-10-14 05:03:27)
실행방법 실행전 충족되야하는 조건</t>
      </text>
    </comment>
    <comment authorId="0" ref="G1">
      <text>
        <t xml:space="preserve">======
ID#AAABs7L1S64
    (2025-10-14 05:03:27)
해당 케이스의 직접적인 실행 순서를 작성</t>
      </text>
    </comment>
    <comment authorId="0" ref="A1">
      <text>
        <t xml:space="preserve">======
ID#AAABs7L1S68
    (2025-10-14 05:03:27)
케이스 번호, 카운트 용도</t>
      </text>
    </comment>
    <comment authorId="0" ref="B1">
      <text>
        <t xml:space="preserve">======
ID#AAABs7L1S60
    (2025-10-14 05:03:27)
프로그램의 가장 큰단위로 나눌 수 있는 시스템 범주</t>
      </text>
    </comment>
  </commentList>
  <extLst>
    <ext uri="GoogleSheetsCustomDataVersion2">
      <go:sheetsCustomData xmlns:go="http://customooxmlschemas.google.com/" r:id="rId1" roundtripDataSignature="AMtx7mh7N6Ie8Zgy6bLIefNSGrAb9W20EQ=="/>
    </ext>
  </extLst>
</comments>
</file>

<file path=xl/sharedStrings.xml><?xml version="1.0" encoding="utf-8"?>
<sst xmlns="http://schemas.openxmlformats.org/spreadsheetml/2006/main" count="1040" uniqueCount="397">
  <si>
    <t>No</t>
  </si>
  <si>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</si>
  <si>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</si>
  <si>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</si>
  <si>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</si>
  <si>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</si>
  <si>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</si>
  <si>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</si>
  <si>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</si>
  <si>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</si>
  <si>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비고</t>
  </si>
  <si>
    <t>Tag</t>
  </si>
  <si>
    <t>게임
실행</t>
  </si>
  <si>
    <t>실행</t>
  </si>
  <si>
    <t>게임 실행</t>
  </si>
  <si>
    <t>클라이언트를 실행한다</t>
  </si>
  <si>
    <t>인게임
시작 전</t>
  </si>
  <si>
    <t>1. "SpaceAttack.exe" 파일 실행</t>
  </si>
  <si>
    <t>Rovoid가 실행될 것으로 예상된다</t>
  </si>
  <si>
    <t>Pass</t>
  </si>
  <si>
    <t>정상적으로 'Rovoid'가 실행됨</t>
  </si>
  <si>
    <t>게임실행</t>
  </si>
  <si>
    <t>윈도우</t>
  </si>
  <si>
    <t>최소화</t>
  </si>
  <si>
    <t>창을 최소화 한다</t>
  </si>
  <si>
    <t>1. 우측 상단 최소화 버튼 클릭</t>
  </si>
  <si>
    <t>창이 최소화 될 것으로 예상된다</t>
  </si>
  <si>
    <t>정상적으로 최소화가 실행됨</t>
  </si>
  <si>
    <t>닫기</t>
  </si>
  <si>
    <t>윈도우를 닫는다</t>
  </si>
  <si>
    <t>1. 우측 상단 X 버튼 클릭</t>
  </si>
  <si>
    <t>창이 꺼지며 게임이 종료될 것으로 예상된다</t>
  </si>
  <si>
    <t>정상적으로 게임이 종료됨</t>
  </si>
  <si>
    <t>메뉴 기능</t>
  </si>
  <si>
    <t>게임 메뉴</t>
  </si>
  <si>
    <t>게임 선택</t>
  </si>
  <si>
    <t>게임 선택'을 클릭한다</t>
  </si>
  <si>
    <t>1. 우측 하단 '게임 선택' 버튼 클릭</t>
  </si>
  <si>
    <t>게임 선택이 실행될 것으로 예상된다</t>
  </si>
  <si>
    <t>정상적으로 게임 선택이 실행됨</t>
  </si>
  <si>
    <t>1-1. New File 버튼 클릭</t>
  </si>
  <si>
    <t>새 파일 생성되고 게임이 실행될 것으로 예상된다</t>
  </si>
  <si>
    <t>새 파일 생성 및 게임 실행됨</t>
  </si>
  <si>
    <t>1-2. New File 버튼 클릭</t>
  </si>
  <si>
    <t>1-3. New File 버튼 클릭</t>
  </si>
  <si>
    <t>Save File_0을 클릭한다</t>
  </si>
  <si>
    <t>1. Save File_0을 클릭한다</t>
  </si>
  <si>
    <t>저장된 게임 파일을 클릭한다</t>
  </si>
  <si>
    <t>게임 진행이 저장됨</t>
  </si>
  <si>
    <t>2. 저장된 게임 진행 상황을 확인한다</t>
  </si>
  <si>
    <t>저장된 게임 진행 상황이 실행될 것으로 예상된다</t>
  </si>
  <si>
    <t>저장된 게임 파일이 실행됨</t>
  </si>
  <si>
    <t>파일 삭제'를 클릭한다</t>
  </si>
  <si>
    <t>1. 기존에 저장된 파일 클릭</t>
  </si>
  <si>
    <t>Save 파일 선택될 것으로 예상된다</t>
  </si>
  <si>
    <t>Save 파일 선택됨</t>
  </si>
  <si>
    <t>1-1. 파일 삭제를 클릭한다</t>
  </si>
  <si>
    <t>저장된 게임 파일이 삭제될 것으로 예상된다</t>
  </si>
  <si>
    <t>저장된 파일이 없으므로 실행되지 않음</t>
  </si>
  <si>
    <t>삭제 후 시작을 클릭한다</t>
  </si>
  <si>
    <t>1-2. 삭제 후 시작을 클릭한다</t>
  </si>
  <si>
    <t>기존에 저장된 파일이 삭제되고 새 게임이 시작될 것으로 예상된다</t>
  </si>
  <si>
    <t>기존 파일 삭제 후 새 게임 실행됨</t>
  </si>
  <si>
    <t>취소를 클릭한다</t>
  </si>
  <si>
    <t>1-3. 취소를 클릭한다</t>
  </si>
  <si>
    <t>삭제 작업이 실행 취소될 것으로 예상된다</t>
  </si>
  <si>
    <t>실행 중인 작업이 취소됨</t>
  </si>
  <si>
    <t>설정</t>
  </si>
  <si>
    <t>설정 버튼을 클릭한다</t>
  </si>
  <si>
    <t>1. 설정 버튼을 클릭한다</t>
  </si>
  <si>
    <t>설정 버튼이 클릭될 것으로 예상된다</t>
  </si>
  <si>
    <t>설정 버튼이 클릭됨</t>
  </si>
  <si>
    <t>2. 설정 메뉴 바가 출력되는지 확인한다</t>
  </si>
  <si>
    <t>설정 메뉴 바가 출력될 것으로 예상된다</t>
  </si>
  <si>
    <t>설정 메뉴 바가 출력됨</t>
  </si>
  <si>
    <t>나가기</t>
  </si>
  <si>
    <t>나가기 버튼 클릭</t>
  </si>
  <si>
    <t>1. 나가기 버튼을 클릭한다</t>
  </si>
  <si>
    <t>나가기 버튼이 클릭될 것으로 예상된다</t>
  </si>
  <si>
    <t>나가기 버튼이 클릭됨</t>
  </si>
  <si>
    <t>2. 윈도우 화면이 뜨는지 상태를 확인한다</t>
  </si>
  <si>
    <t>나가기 후 윈도우 화면이 뜰 것으로 예상된다</t>
  </si>
  <si>
    <t>윈도우 화면 뜸</t>
  </si>
  <si>
    <t>일시중지</t>
  </si>
  <si>
    <t>Esc 키를 클릭한다</t>
  </si>
  <si>
    <t>인게임 
시작 후</t>
  </si>
  <si>
    <t>1. Esc 키를 클릭</t>
  </si>
  <si>
    <t>버튼이 클릭될 것으로 예상된다</t>
  </si>
  <si>
    <t>일시중지 메뉴가 출력됨</t>
  </si>
  <si>
    <t>메뉴기능</t>
  </si>
  <si>
    <t>2. 일시중지 메뉴가 뜨는지 확인</t>
  </si>
  <si>
    <t>일시중지 메뉴가 출력될 것으로 예상된다</t>
  </si>
  <si>
    <t>원래 플레이 중인 게임 화면으로 이동됨</t>
  </si>
  <si>
    <t>Resume을 클릭한다</t>
  </si>
  <si>
    <t xml:space="preserve">1. Resume을 클릭한다
</t>
  </si>
  <si>
    <t>새 게임 실행은 아직 미구현 상태</t>
  </si>
  <si>
    <t>2. 게임이 다시 실행되는지 확인한다</t>
  </si>
  <si>
    <t>게임이 다시 실행될 것으로 예상된다</t>
  </si>
  <si>
    <t>ArchiveMent도 아직 미구현 상태</t>
  </si>
  <si>
    <t xml:space="preserve"> NewGame을 클릭한다</t>
  </si>
  <si>
    <t>1. NewGame을 클릭한다</t>
  </si>
  <si>
    <t>버튼은 제작됨</t>
  </si>
  <si>
    <t>2. 새 게임이 실행되는지 확인한다</t>
  </si>
  <si>
    <t>새 게임이 실행될 것으로 예상된다</t>
  </si>
  <si>
    <t>N/A</t>
  </si>
  <si>
    <t>UI , 기능 미구현 상태</t>
  </si>
  <si>
    <t>ArchiveMent 버튼을 클릭한다</t>
  </si>
  <si>
    <t>1. ArchiveMent 버튼을 클릭한다</t>
  </si>
  <si>
    <t>2. 메뉴로 이동되는지 확인한다</t>
  </si>
  <si>
    <t>메뉴로 이동될 것으로 예상된다</t>
  </si>
  <si>
    <t>Help 버튼을 클릭한다</t>
  </si>
  <si>
    <t>1. Help 버튼을 클릭한다</t>
  </si>
  <si>
    <t>2. 도움말 메뉴가 뜨는지 확인한다</t>
  </si>
  <si>
    <t>도움말 메뉴가 출력될 것으로 예상된다</t>
  </si>
  <si>
    <t>Setting 버튼을 클릭한다</t>
  </si>
  <si>
    <t>1. Setting 버튼을 클릭한다</t>
  </si>
  <si>
    <t>2. 설정 메뉴가 뜨는지 확인한다</t>
  </si>
  <si>
    <t>설정 메뉴가 출력될 것으로 예상된다</t>
  </si>
  <si>
    <t>설정 메뉴가 출력됨</t>
  </si>
  <si>
    <t>3. 설정에서 KeySetting 메뉴가 뜨는지 확인한다</t>
  </si>
  <si>
    <t>KeySetting 메뉴가 출력될 것으로 예상된다</t>
  </si>
  <si>
    <t xml:space="preserve"> KeySetting 메뉴가 출력됨</t>
  </si>
  <si>
    <t>전진 이동키를 W에서 E로 변경한다</t>
  </si>
  <si>
    <t>1. UpMove의 기본 키를 W에서 E로 변경한다</t>
  </si>
  <si>
    <t>전진 조작키가 변경될 것으로 예상된다</t>
  </si>
  <si>
    <t>조작키가 변경됨</t>
  </si>
  <si>
    <t>2. Save를 클릭한다</t>
  </si>
  <si>
    <t>조작키 변경 내용이 저장될 것으로 예상된다</t>
  </si>
  <si>
    <t>조작키 변경사항이 저장됨</t>
  </si>
  <si>
    <t>3. Return을 클릭한다</t>
  </si>
  <si>
    <t>Return이 실행될 것으로 예상된다</t>
  </si>
  <si>
    <t>Return 실행됨</t>
  </si>
  <si>
    <t>4. Resume을 클릭한다</t>
  </si>
  <si>
    <t>Resume이 실행될 것으로 예상된다</t>
  </si>
  <si>
    <t>Resume 실행됨</t>
  </si>
  <si>
    <t>5. 변경된 E 키를 클릭해서 플레이어가 전진하는지 확인한다</t>
  </si>
  <si>
    <t>변경된 조작키를 통해 플레이어가 전진할 것으로 예상된다</t>
  </si>
  <si>
    <t>후진 이동키를 S에서 D로 변경한다</t>
  </si>
  <si>
    <t>1. DownMove의 기본 키를 S에서 D로 변경한다</t>
  </si>
  <si>
    <t>기본키가 변경될 것으로 예상된다</t>
  </si>
  <si>
    <t>기본키가 변경됨</t>
  </si>
  <si>
    <t>후진 조작키가 변경될 것으로 예상된다</t>
  </si>
  <si>
    <t>후진 조작키가 변경됨</t>
  </si>
  <si>
    <t>5. 변경된 D 키를 클릭해서 플레이어가 후진하는지 확인한다</t>
  </si>
  <si>
    <t>변경된 조작키로 플레이어가 후진할 것으로 예상된다</t>
  </si>
  <si>
    <t>플레이어가 후진함</t>
  </si>
  <si>
    <t>좌측 이동키를 A에서 S로 변경한다</t>
  </si>
  <si>
    <t>1. LeftMove의 기본 키를 A에서 S로 변경한다</t>
  </si>
  <si>
    <t>좌측 조작키가 변경될 것으로 예상된다</t>
  </si>
  <si>
    <t>변경된 조작키가 저장될 것으로 예상된다</t>
  </si>
  <si>
    <t>변경된 조작키가 저장됨</t>
  </si>
  <si>
    <t>5. 변경된 S 키를 클릭해서 플레이어가 좌측으로 이동하는지 확인한다</t>
  </si>
  <si>
    <t>변경된 조작키로 플레이어가 좌측 이동할 것으로 예상된다</t>
  </si>
  <si>
    <t>플레이어가 좌측 이동함</t>
  </si>
  <si>
    <t>우측 이동키를 D에서 F로 변경한다</t>
  </si>
  <si>
    <t>1. RightMove의 기본 키를 D에서 F로 변경한다</t>
  </si>
  <si>
    <t>기본 조작 키가 변경될 것으로 예상된다</t>
  </si>
  <si>
    <t>기본 조작키가 변경됨</t>
  </si>
  <si>
    <t>5. 변경된 F 키를 클릭해서 플레이어가 우측으로 이동하는지 확인한다</t>
  </si>
  <si>
    <t>변경된 조작키로 플레이어가 우측으로 이동할 것으로 예상된다</t>
  </si>
  <si>
    <t>플레이어가 우측 이동함</t>
  </si>
  <si>
    <t>Skill 1의 기본 키를 Q에서 숫자 1로 변경한다</t>
  </si>
  <si>
    <t>1. Skill 1의 기본 키를 Q에서 숫자 1로 변경한다</t>
  </si>
  <si>
    <t>변경사항이 저장될 것으로 예상된다</t>
  </si>
  <si>
    <t>5. 변경된 숫자 1를 클릭해서 스킬 1이 작동하는지 확인한다</t>
  </si>
  <si>
    <t>변경된 숫자키로 스킬 1이 작동할 것으로 예상된다</t>
  </si>
  <si>
    <t>스킬 1 작동됨</t>
  </si>
  <si>
    <t>Skill 2의 기본 키를 E에서 숫자 2로 변경한다</t>
  </si>
  <si>
    <t>1. Skill 2의 기본 키를 E에서 숫자 2로 변경한다</t>
  </si>
  <si>
    <t>5. 변경된 숫자 2를 클릭해서 스킬 2가 작동하는지 확인한다</t>
  </si>
  <si>
    <t>변경된 숫자키로 스킬 2가 작동될 것으로 예상된다</t>
  </si>
  <si>
    <t>스킬 2가 작동됨</t>
  </si>
  <si>
    <t>Skill 3의 기본 키를 R에서 숫자 3으로 변경한다</t>
  </si>
  <si>
    <t>1. Skill 3의 기본 키를 R에서 숫자 3으로 변경한다</t>
  </si>
  <si>
    <t>5. 변경된 숫자 3을 클릭해서 스킬 3이 작동하는지 확인한다</t>
  </si>
  <si>
    <t>변경된 숫자키로 스킬 3이 작동될 것으로 예상된다</t>
  </si>
  <si>
    <t>스킬 3이 작동됨</t>
  </si>
  <si>
    <t>Interacion의 기본 키를 F에서 P로 변경한다</t>
  </si>
  <si>
    <t xml:space="preserve">1. Interacion의 기본 키를 F에서 P로 변경한다
</t>
  </si>
  <si>
    <t>5. 변경된 P 키로 유물 시스템과 상호작용이 가능한지 확인한다</t>
  </si>
  <si>
    <t>변경죈 조작키로 상호작용이 가능할 것으로 예상된다</t>
  </si>
  <si>
    <t>상화작용됨</t>
  </si>
  <si>
    <t>Dash의 기본 키를 Space에서 Shift로 변경한다</t>
  </si>
  <si>
    <t>1. Dash의 기본 키를 Space에서 Shift로 변경한다</t>
  </si>
  <si>
    <t>5. 변경된 Shift 키를 클릭해서 플레이어가 대쉬하는지 확인한다</t>
  </si>
  <si>
    <t>변경된 조작키로 플레이어가 대쉬할 것으로 예상된다</t>
  </si>
  <si>
    <t>플레이어가 대쉬함</t>
  </si>
  <si>
    <t>Audio 항목의 Master(전체 게임 사운드)를 음소거로 설정한다</t>
  </si>
  <si>
    <t>1. Audio 항목의 Master 바를 음소거로 조절한다</t>
  </si>
  <si>
    <t>UI 사운드 바가 음소거로 조절될 것으로 예상된다</t>
  </si>
  <si>
    <t>음소거로 조절됨</t>
  </si>
  <si>
    <t>5. 전체 게임 사운드가 음소거 상태에서 소리가 들리지 않는지 확인한다</t>
  </si>
  <si>
    <t>음소거 상태에서 소리가 출력되지 않을 것으로 예상된다</t>
  </si>
  <si>
    <t>음소거 상태에서 소리가 출력되지 않음</t>
  </si>
  <si>
    <t>Audio 항목의 Master(전체 게임 사운드) 음량을 작아지게 설정한다</t>
  </si>
  <si>
    <t>1. Audio 항목의 Master 바를 왼쪽으로 조절한다</t>
  </si>
  <si>
    <t>UI 사운드 바가 조절될 것으로 예상된다</t>
  </si>
  <si>
    <t>UI 사운드 바 조절됨</t>
  </si>
  <si>
    <t>변경죈 조작키가 저장됨</t>
  </si>
  <si>
    <t>5. 전체 게임 사운드가 작아지는지 확인한다</t>
  </si>
  <si>
    <t>전체 게임 사운드가 작아질 것으로 예상된다</t>
  </si>
  <si>
    <t>전체 게임 사운드가 작아짐</t>
  </si>
  <si>
    <t>Audio 항목의 Master(전체 게임 사운드) 음량을 커지게 설정한다</t>
  </si>
  <si>
    <t>1. Audio 항목의 Master 바를 오른쪽으로 조절한다</t>
  </si>
  <si>
    <t>UI 사운드 바가 조절됨</t>
  </si>
  <si>
    <t>5. 전체 게임 사운드가 커지는지 확인한다</t>
  </si>
  <si>
    <t>전체 게임 사운드 음량이 커질 것으로 예상된다</t>
  </si>
  <si>
    <t>전체 게임 사운드 용량이 커짐</t>
  </si>
  <si>
    <t xml:space="preserve"> Audio 항목의 BGM 음량을 음소거로 설정한다
</t>
  </si>
  <si>
    <t>1. Audio 항목의 BGM 음량을 음소거로 설정한다</t>
  </si>
  <si>
    <t>UI 사운드가 음소거로 조절됨</t>
  </si>
  <si>
    <t>5. BGM이 음소거 상태에서 소리가 들리지 않는지 확인한다</t>
  </si>
  <si>
    <t>BGM이 음소거 상태에서 소리가 들리지 않을 것으로 예상된다</t>
  </si>
  <si>
    <t xml:space="preserve">Audio 항목의 BGM 음량을 작아지게 변경한다
</t>
  </si>
  <si>
    <t>1. Audio 항목의 BGM 바를 왼쪽으로 조절한다</t>
  </si>
  <si>
    <t>UI 사운드 바 조절이 될 것으로 예상된다</t>
  </si>
  <si>
    <t>5. BGM 음량의 소리가 작아졌는지 확인한다</t>
  </si>
  <si>
    <t>BGM 음량이 작아졌을 것으로 예상된다</t>
  </si>
  <si>
    <t>BGM 음량이 작아짐</t>
  </si>
  <si>
    <t>Audio 항목의 BGM 음량을 커지게 변경한다</t>
  </si>
  <si>
    <t>1. Audio 항목의 BGM 바를 오른쪽으로 조절한다</t>
  </si>
  <si>
    <t>5. BGM 음량의 소리가 커졌는지 확인한다</t>
  </si>
  <si>
    <t>BGM 음량의 소리가 커질 것으로 예상된다</t>
  </si>
  <si>
    <t>BGM 음량이 커짐</t>
  </si>
  <si>
    <t>Audio 항목의 SFX를 음소거로 설정한다</t>
  </si>
  <si>
    <t>1. Audio 항목의 SFX 항목을 음소거로 설정한다</t>
  </si>
  <si>
    <t>5. SFX 볼륨이 음소거 상태에서 소리가 출력되지 않는지 확인한다</t>
  </si>
  <si>
    <t>SFX의 볼륨이 음소거 상태에서 소리가 출력되지 않을 것으로 예상된다</t>
  </si>
  <si>
    <t>Audio 항목의 SFX를 작아지게 설정한다</t>
  </si>
  <si>
    <t>1. Audio 항목의 SFX의 볼륨을 작아지게 설정한다</t>
  </si>
  <si>
    <t>SFX의 볼륨이 작아질 것으로 예상된다</t>
  </si>
  <si>
    <t>SFX 볼륨이 작아짐</t>
  </si>
  <si>
    <t>5. SFX 볼륨이 작아졌는지 확인한다</t>
  </si>
  <si>
    <t>SFX 볼륨이 작아졌을 것으로 예상된다</t>
  </si>
  <si>
    <t>Audio 항목의 SFX를 커지게 설정한다</t>
  </si>
  <si>
    <t>1. Audio 항목의 SFX의 볼륨을 커지게 설정한다</t>
  </si>
  <si>
    <t>SFX 볼륨이 커졌을 것으로 예상된다</t>
  </si>
  <si>
    <t>SFX 볼륨이 커짐</t>
  </si>
  <si>
    <t>5. SFX 볼륨이 커졌는지 확인한다</t>
  </si>
  <si>
    <t>SFX 볼륨이 커질 것으로 예상된다</t>
  </si>
  <si>
    <t>UI 사운드를 음소거로 설정한다</t>
  </si>
  <si>
    <t>1. UI 사운드를 왼쪽 바로 이동하여 음소거로 설정한다</t>
  </si>
  <si>
    <t>5. 음소거 상태에서 UI 사운드 소리가 출력이 안되는지 확인한다</t>
  </si>
  <si>
    <t>음소거 상태에서 UI 사운드가 들리지 않을 것으로 예상된다</t>
  </si>
  <si>
    <t>UI 사운드를 작게 설정한다</t>
  </si>
  <si>
    <t>1. UI 사운드 바를 왼쪽으로 조절한다</t>
  </si>
  <si>
    <t>UI 바를 왼쪽으로 조절이 가능해질 것으로 예상된다</t>
  </si>
  <si>
    <t>5. UI 사운드 볼륨이 작아졌는지 확인한다</t>
  </si>
  <si>
    <t>UI 사운드 볼륨이 작아질 것으로 예상된다</t>
  </si>
  <si>
    <t>UI 사운드 볼륨이 작아짐</t>
  </si>
  <si>
    <t>UI 사운드를 크게 설정한다</t>
  </si>
  <si>
    <t>1. UI 사운드 바를 오른쪽으로 이동한다</t>
  </si>
  <si>
    <t>UI 사운드 바가 오른쪽으로 이동될 것으로 예상된다</t>
  </si>
  <si>
    <t>UI 사운드 바 조절 가능함</t>
  </si>
  <si>
    <t>5. UI 사운드 볼륨이 커졌는지 확인한다</t>
  </si>
  <si>
    <t>UI 사운드 볼륨이 커질 것으로 예상된다</t>
  </si>
  <si>
    <t>UI 사운드 볼륨이 커짐</t>
  </si>
  <si>
    <t>인게임 기능</t>
  </si>
  <si>
    <t>설정을 초기화한다</t>
  </si>
  <si>
    <t>1. 설정 메뉴 우측의 하단 Reset 버튼을 클릭한다</t>
  </si>
  <si>
    <t>Reset이 실행될 것으로 예상된다</t>
  </si>
  <si>
    <t>인게임기능</t>
  </si>
  <si>
    <t>2. 안내 문구 창에서 Reset 버튼을 다시 클릭한다</t>
  </si>
  <si>
    <t>3. 현재 변경한 설정이 초기화 되었는지 확인한다</t>
  </si>
  <si>
    <t>기능 초기화가 실행될 것으로 예상된다</t>
  </si>
  <si>
    <t>기능 초기화가 실행됨</t>
  </si>
  <si>
    <t>기존 설정을 취소한다</t>
  </si>
  <si>
    <t>1. 변경된 설정을 저장(Save) 버튼을 클릭한다</t>
  </si>
  <si>
    <t>변경사항이 저장됨</t>
  </si>
  <si>
    <t>2. 안내 문구 창에서 취소(Cancel) 버튼을 클릭한다</t>
  </si>
  <si>
    <t>변경사항이 취소될 것으로 예상된다</t>
  </si>
  <si>
    <t>취소가 실행됨</t>
  </si>
  <si>
    <t>3. 현재 변경한 설정이 기존 설정으로 그대로 유지되었는지 확인한다</t>
  </si>
  <si>
    <t>기존 설정 내용으로 유지될 것으로 예상된다</t>
  </si>
  <si>
    <t>기존 설정 내용이 유지됨</t>
  </si>
  <si>
    <t xml:space="preserve"> 플레이어 이동</t>
  </si>
  <si>
    <t>앞으로 이동</t>
  </si>
  <si>
    <t>W 키를 클릭</t>
  </si>
  <si>
    <t>1. W 키를 클릭한다</t>
  </si>
  <si>
    <t>버튼이 클릭됨</t>
  </si>
  <si>
    <t>2. 플레이어가 전진하는지 확인한다</t>
  </si>
  <si>
    <t>플레이어가 전진할 것으로 예상된다</t>
  </si>
  <si>
    <t>플레이어가 전진함</t>
  </si>
  <si>
    <t>왼쪽으로 이동</t>
  </si>
  <si>
    <t>A 키를 클릭</t>
  </si>
  <si>
    <t>1. A 키를 클릭한다</t>
  </si>
  <si>
    <t>2. 플레이어가 좌측으로 이동하는지 확인한다</t>
  </si>
  <si>
    <t>플레이어가 좌측 이동할 것으로 예상된다</t>
  </si>
  <si>
    <t>오른쪽으로 이동</t>
  </si>
  <si>
    <t>D 키를 클릭</t>
  </si>
  <si>
    <t>1. D 키를 클릭한다</t>
  </si>
  <si>
    <t>2. 플레이어가 우측으로 이동하는지 확인한다</t>
  </si>
  <si>
    <t>플레이어가 우측 이동할 것으로 예상된다</t>
  </si>
  <si>
    <t>뒤로 이동</t>
  </si>
  <si>
    <t>S 키를 클릭</t>
  </si>
  <si>
    <t>1. S 키를 클릭한다</t>
  </si>
  <si>
    <t>2. 플레이어가 후진하는지 확인한다</t>
  </si>
  <si>
    <t>플레이어가 후진할 것으로 예상된다</t>
  </si>
  <si>
    <t>대쉬</t>
  </si>
  <si>
    <t>Space 바를 클릭</t>
  </si>
  <si>
    <t>1. Space 바를 클릭한다</t>
  </si>
  <si>
    <t>2. 플레이어가 대쉬하는지 확인한다</t>
  </si>
  <si>
    <t>플레이어가 대쉬할 것으로 예상된다</t>
  </si>
  <si>
    <t>스킬</t>
  </si>
  <si>
    <t>스킬 1 실행</t>
  </si>
  <si>
    <t>Q 키를 클릭</t>
  </si>
  <si>
    <t>1. Q 키를 클릭</t>
  </si>
  <si>
    <t>2. 스킬 1이 실행되는지 확인한다</t>
  </si>
  <si>
    <t>스킬 1이 실행될 것으로 예상된다</t>
  </si>
  <si>
    <t>스킬 1이 실행됨</t>
  </si>
  <si>
    <t>스킬 2 실행</t>
  </si>
  <si>
    <t>E 키를 클릭</t>
  </si>
  <si>
    <t>1. E 키를 클릭</t>
  </si>
  <si>
    <t>2. 스킬 2가 실행되는지 확인한다</t>
  </si>
  <si>
    <t>스킬 2가 실행될 것으로 예상된다</t>
  </si>
  <si>
    <t>스킬 2가 실행됨</t>
  </si>
  <si>
    <t>스킬 3 실행</t>
  </si>
  <si>
    <t>R 키를 클릭</t>
  </si>
  <si>
    <t>1. R 키를 클릭</t>
  </si>
  <si>
    <t>2. 스킬 3이 실행되는지 확인한다</t>
  </si>
  <si>
    <t>스킬 3이 실행될 것으로 예상된다</t>
  </si>
  <si>
    <t>스킬 3이 실행됨</t>
  </si>
  <si>
    <t>유물</t>
  </si>
  <si>
    <t>상호작용</t>
  </si>
  <si>
    <t>F 키를 클릭</t>
  </si>
  <si>
    <t>1. F 키를 클릭</t>
  </si>
  <si>
    <t>2. 플레이어가 유물과 상호작용하는지 확인한다</t>
  </si>
  <si>
    <t>유물과 상호작용할 것으로 예상된다</t>
  </si>
  <si>
    <t>유물과 상호작용됨</t>
  </si>
  <si>
    <t>유물 정보 확인</t>
  </si>
  <si>
    <t>Z 키를 클릭</t>
  </si>
  <si>
    <t>1. Z 키를 클릭</t>
  </si>
  <si>
    <t>스킬이 작동할 것으로 예상된다</t>
  </si>
  <si>
    <t>스킬이 선택됨</t>
  </si>
  <si>
    <t>2. 플레이어가 유물 정보를 확인할 수 있는지 확인한다</t>
  </si>
  <si>
    <t>유물 정보가 출력될 것으로 예상된다</t>
  </si>
  <si>
    <t>아직 미구현 상태임</t>
  </si>
  <si>
    <t>칩셋 1 (Chipst_Warrior)</t>
  </si>
  <si>
    <t>This is Warriors BaseAttack를 클릭한다 (1)</t>
  </si>
  <si>
    <t>1. 칩셋 1 (Chipst_Warrior)을 선택한다</t>
  </si>
  <si>
    <t>Chipst_Warrior가 선택될 것으로 예상된다</t>
  </si>
  <si>
    <t>Chipst_Warrior가 선택됨</t>
  </si>
  <si>
    <t>2. This is Warriors BaseAttack를 클릭한다</t>
  </si>
  <si>
    <t>기능이 작동할 것으로 예상된다</t>
  </si>
  <si>
    <t>기능이 작동됨</t>
  </si>
  <si>
    <t>This is Warriors StingSkill을 클릭한다 (2)</t>
  </si>
  <si>
    <t>2. This is Warriors StingSkill을 클릭한다</t>
  </si>
  <si>
    <t>This is Warriors BeheadingSkill을 클릭한다 (3)</t>
  </si>
  <si>
    <t>2. This is Warriors BeheadingSkill을 클릭한다</t>
  </si>
  <si>
    <t>가능이 작동할 것으로 예상된다</t>
  </si>
  <si>
    <t>This is Warriors CoreActivationSkill을 클릭한다 (4)</t>
  </si>
  <si>
    <t xml:space="preserve">2. This is Warriors CoreActivationSkill을 클릭한다 </t>
  </si>
  <si>
    <t>유물 정보가 정상적으로 출력될 것으로 예상된다</t>
  </si>
  <si>
    <t>유물의 정보가 HUD에 표시됨</t>
  </si>
  <si>
    <t>칩셋 2 (Chipset_Archer)</t>
  </si>
  <si>
    <t>This is Archers BaseAttack를 클릭한다 (1)</t>
  </si>
  <si>
    <t>1. 칩셋 2 (Chipset_Archer)를 선택한다</t>
  </si>
  <si>
    <t>Chipset_Archer가 선택될 것으로 예상된다</t>
  </si>
  <si>
    <t>Chipset_Archer가 선택됨</t>
  </si>
  <si>
    <t>2. This is Archers BaseAttack를 클릭한다</t>
  </si>
  <si>
    <t>This is Archers BigArrowSkill을 클릭한다 (2)</t>
  </si>
  <si>
    <t>2. This is Archers BigArrowSkill을 클릭한다</t>
  </si>
  <si>
    <t>This is Archers ConsentratedFireSkill을 클릭한다 (3)</t>
  </si>
  <si>
    <t>2. This is Archers ConsentratedFireSkill을 클릭한다</t>
  </si>
  <si>
    <t>This is Archers _ChargingShitSkill을 클릭한다 (4)</t>
  </si>
  <si>
    <t>2. This is Archers _ChargingShitSkill을 클릭한다</t>
  </si>
  <si>
    <t>HUD</t>
  </si>
  <si>
    <t>체력 바 (좌측 최상단)</t>
  </si>
  <si>
    <t>데미지를 받았을 때 체력이 -1씩 감소한다</t>
  </si>
  <si>
    <t>1. 플레이어는 공격을 하지 않고 몬스터가 있는 위치로 이동한다</t>
  </si>
  <si>
    <t>플레이어의 체력이 -1 감소하는 상태가 HUD에 출력될 것으로 예상된다</t>
  </si>
  <si>
    <t>HUD에 상태가 표시됨</t>
  </si>
  <si>
    <t>2. 좌측 상단의 플레이어의 체력이 -1씩 감소되는지 확인한다</t>
  </si>
  <si>
    <t>유물 획득 게이지가 증가 및 감소하는 상태가 HUD에 출력될 것으로 예상된다</t>
  </si>
  <si>
    <t>유물 획득 게이지 (좌측 상단)</t>
  </si>
  <si>
    <t>좌측 상단의 유물 획득 게이지가 작동하는지 확인한다</t>
  </si>
  <si>
    <t>1. F 키 클릭</t>
  </si>
  <si>
    <t>유물을 획득할 것으로 예상된다</t>
  </si>
  <si>
    <t>2. 유물 획득 시 유물 게이지가 상승하는지 확인한다</t>
  </si>
  <si>
    <t>유물 획득 게이지가 상승할 것으로 예상된다</t>
  </si>
  <si>
    <t>장착된 스킬 (좌측 상단)</t>
  </si>
  <si>
    <t>좌측 상단의 스킬이 제대로 장착되었는지 확인한다</t>
  </si>
  <si>
    <t>1. 좌측 상단의 체력 바 하단의 검 스킬이 장착되었는지 확인한다</t>
  </si>
  <si>
    <t>스킬이 장착되었을 것이라고 예상된다</t>
  </si>
  <si>
    <t>유물 획득 바 (우측 최상단)</t>
  </si>
  <si>
    <t>우측 상단의 유물 획득 바에서 유물 획득 상태를 확인한다</t>
  </si>
  <si>
    <t>1. 유물 인벤토리에 유물 획득 상태를 확인한다</t>
  </si>
  <si>
    <t>유물 인벤토리에 유물이 획득될 것으로 예상된다</t>
  </si>
  <si>
    <t>테스트케이스 현황</t>
  </si>
  <si>
    <t>분류</t>
  </si>
  <si>
    <t>개수</t>
  </si>
  <si>
    <t>비율</t>
  </si>
  <si>
    <t>Fail</t>
  </si>
  <si>
    <t>Block</t>
  </si>
  <si>
    <t>N/T</t>
  </si>
  <si>
    <t>Total</t>
  </si>
  <si>
    <t>Total(%)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</si>
</sst>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ptos Narrow"/>
      <scheme val="minor"/>
    </font>
    <font>
      <b/>
      <sz val="12.0"/>
      <color theme="1"/>
      <name val="Verdana"/>
    </font>
    <font>
      <color theme="1"/>
      <name val="Aptos Narrow"/>
      <scheme val="minor"/>
    </font>
    <font>
      <sz val="10.0"/>
      <color theme="1"/>
      <name val="Verdana"/>
    </font>
    <font>
      <sz val="10.0"/>
      <color rgb="FFFFFFFF"/>
      <name val="Verdana"/>
    </font>
    <font>
      <sz val="10.0"/>
      <color theme="1"/>
      <name val="Aptos Narrow"/>
    </font>
    <font/>
    <font>
      <color theme="1"/>
      <name val="Arial"/>
    </font>
    <font>
      <color theme="1"/>
      <name val="Verdana"/>
    </font>
    <font>
      <color theme="1"/>
      <name val="Aptos Narrow"/>
    </font>
    <font>
      <sz val="10.0"/>
      <color theme="1"/>
      <name val="Arial"/>
    </font>
    <font>
      <b/>
      <sz val="9.0"/>
      <color theme="1"/>
      <name val="Gulim"/>
    </font>
    <font>
      <b/>
      <sz val="9.0"/>
      <color rgb="FFFFFFFF"/>
      <name val="Gulim"/>
    </font>
    <font>
      <sz val="9.0"/>
      <color theme="1"/>
      <name val="Gulim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6">
    <border/>
    <border>
      <left style="thin">
        <color rgb="FFF3F3F3"/>
      </left>
      <right style="thin">
        <color rgb="FFF3F3F3"/>
      </right>
      <top style="thin">
        <color rgb="FFF3F3F3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4" fillId="0" fontId="6" numFmtId="0" xfId="0" applyAlignment="1" applyBorder="1" applyFont="1">
      <alignment shrinkToFit="0" wrapText="1"/>
    </xf>
    <xf borderId="2" fillId="0" fontId="3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shrinkToFit="0" wrapText="1"/>
    </xf>
    <xf borderId="3" fillId="0" fontId="7" numFmtId="0" xfId="0" applyAlignment="1" applyBorder="1" applyFont="1">
      <alignment horizontal="center" readingOrder="0" shrinkToFit="0" vertical="center" wrapText="1"/>
    </xf>
    <xf quotePrefix="1" borderId="3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3" fillId="0" fontId="7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shrinkToFit="0" vertical="center" wrapText="1"/>
    </xf>
    <xf borderId="3" fillId="0" fontId="8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11" numFmtId="0" xfId="0" applyAlignment="1" applyFont="1">
      <alignment shrinkToFit="0" wrapText="1"/>
    </xf>
    <xf borderId="2" fillId="4" fontId="12" numFmtId="0" xfId="0" applyAlignment="1" applyBorder="1" applyFill="1" applyFont="1">
      <alignment horizontal="center" shrinkToFit="0" wrapText="1"/>
    </xf>
    <xf borderId="2" fillId="5" fontId="13" numFmtId="0" xfId="0" applyAlignment="1" applyBorder="1" applyFill="1" applyFont="1">
      <alignment shrinkToFit="0" wrapText="1"/>
    </xf>
    <xf borderId="2" fillId="0" fontId="13" numFmtId="0" xfId="0" applyAlignment="1" applyBorder="1" applyFont="1">
      <alignment shrinkToFit="0" wrapText="1"/>
    </xf>
    <xf borderId="2" fillId="0" fontId="13" numFmtId="9" xfId="0" applyAlignment="1" applyBorder="1" applyFont="1" applyNumberFormat="1">
      <alignment shrinkToFit="0" wrapText="1"/>
    </xf>
    <xf borderId="2" fillId="6" fontId="13" numFmtId="9" xfId="0" applyAlignment="1" applyBorder="1" applyFill="1" applyFont="1" applyNumberFormat="1">
      <alignment shrinkToFit="0" wrapText="1"/>
    </xf>
    <xf borderId="2" fillId="6" fontId="13" numFmtId="0" xfId="0" applyAlignment="1" applyBorder="1" applyFont="1">
      <alignment shrinkToFit="0" wrapText="1"/>
    </xf>
    <xf borderId="2" fillId="7" fontId="13" numFmtId="0" xfId="0" applyAlignment="1" applyBorder="1" applyFill="1" applyFont="1">
      <alignment shrinkToFit="0" wrapText="1"/>
    </xf>
    <xf borderId="2" fillId="7" fontId="13" numFmtId="10" xfId="0" applyAlignment="1" applyBorder="1" applyFont="1" applyNumberFormat="1">
      <alignment shrinkToFit="0" wrapText="1"/>
    </xf>
  </cellXfs>
  <cellStyles count="1">
    <cellStyle xfId="0" name="Normal" builtinId="0"/>
  </cellStyles>
  <dxfs count="10">
    <dxf>
      <font/>
      <fill>
        <patternFill patternType="solid">
          <fgColor rgb="FFF3F3F3"/>
          <bgColor rgb="FFF3F3F3"/>
        </patternFill>
      </fill>
      <border/>
    </dxf>
    <dxf>
      <font>
        <color rgb="FF0000FF"/>
      </font>
      <fill>
        <patternFill patternType="solid">
          <fgColor rgb="FFCFE2F3"/>
          <bgColor rgb="FFCFE2F3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9900FF"/>
      </font>
      <fill>
        <patternFill patternType="solid">
          <fgColor rgb="FFD9D2E9"/>
          <bgColor rgb="FFD9D2E9"/>
        </patternFill>
      </fill>
      <border/>
    </dxf>
    <dxf>
      <font>
        <color rgb="FFFF9900"/>
      </font>
      <fill>
        <patternFill patternType="solid">
          <fgColor rgb="FFFCE5CD"/>
          <bgColor rgb="FFFCE5CD"/>
        </patternFill>
      </fill>
      <border/>
    </dxf>
    <dxf>
      <font>
        <color rgb="FF000000"/>
      </font>
      <fill>
        <patternFill patternType="solid">
          <fgColor rgb="FFEFEFEF"/>
          <bgColor rgb="FFEFEFEF"/>
        </patternFill>
      </fill>
      <border/>
    </dxf>
    <dxf>
      <font>
        <color rgb="FF073763"/>
      </font>
      <fill>
        <patternFill patternType="solid">
          <fgColor rgb="FFCFE2F3"/>
          <bgColor rgb="FFCFE2F3"/>
        </patternFill>
      </fill>
      <border/>
    </dxf>
    <dxf>
      <font>
        <color rgb="FF660000"/>
      </font>
      <fill>
        <patternFill patternType="solid">
          <fgColor rgb="FFF4CCCC"/>
          <bgColor rgb="FFF4CCCC"/>
        </patternFill>
      </fill>
      <border/>
    </dxf>
    <dxf>
      <font>
        <color rgb="FF20124D"/>
      </font>
      <fill>
        <patternFill patternType="solid">
          <fgColor rgb="FFD9D2E9"/>
          <bgColor rgb="FFD9D2E9"/>
        </patternFill>
      </fill>
      <border/>
    </dxf>
    <dxf>
      <font>
        <color rgb="FF783F04"/>
      </font>
      <fill>
        <patternFill patternType="solid">
          <fgColor rgb="FFFCE5CD"/>
          <bgColor rgb="FFFCE5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57"/>
    <col customWidth="1" min="2" max="3" width="12.57"/>
    <col customWidth="1" min="4" max="4" width="30.14"/>
    <col customWidth="1" min="5" max="5" width="46.57"/>
    <col customWidth="1" min="6" max="6" width="12.57"/>
    <col customWidth="1" min="7" max="7" width="62.57"/>
    <col customWidth="1" min="8" max="8" width="36.29"/>
    <col customWidth="1" min="9" max="9" width="12.14"/>
    <col customWidth="1" min="10" max="10" width="17.14"/>
    <col customWidth="1" min="11" max="11" width="11.29"/>
    <col customWidth="1" min="12" max="12" width="20.14"/>
    <col customWidth="1" min="13" max="26" width="12.57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7.5" customHeight="1">
      <c r="A2" s="3">
        <f t="shared" ref="A2:A184" si="1">ROW()-2</f>
        <v>0</v>
      </c>
      <c r="B2" s="4" t="s">
        <v>12</v>
      </c>
      <c r="C2" s="3" t="s">
        <v>13</v>
      </c>
      <c r="D2" s="3" t="s">
        <v>14</v>
      </c>
      <c r="E2" s="5" t="s">
        <v>15</v>
      </c>
      <c r="F2" s="4" t="s">
        <v>16</v>
      </c>
      <c r="G2" s="5" t="s">
        <v>17</v>
      </c>
      <c r="H2" s="5" t="s">
        <v>18</v>
      </c>
      <c r="I2" s="6" t="s">
        <v>19</v>
      </c>
      <c r="J2" s="5" t="s">
        <v>20</v>
      </c>
      <c r="K2" s="5"/>
      <c r="L2" s="3" t="s">
        <v>21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7.5" customHeight="1">
      <c r="A3" s="3">
        <f t="shared" si="1"/>
        <v>1</v>
      </c>
      <c r="B3" s="8"/>
      <c r="C3" s="4" t="s">
        <v>22</v>
      </c>
      <c r="D3" s="3" t="s">
        <v>23</v>
      </c>
      <c r="E3" s="9" t="s">
        <v>24</v>
      </c>
      <c r="F3" s="8"/>
      <c r="G3" s="5" t="s">
        <v>25</v>
      </c>
      <c r="H3" s="5" t="s">
        <v>26</v>
      </c>
      <c r="I3" s="6" t="s">
        <v>19</v>
      </c>
      <c r="J3" s="9" t="s">
        <v>27</v>
      </c>
      <c r="K3" s="9"/>
      <c r="L3" s="3" t="s">
        <v>21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7.5" customHeight="1">
      <c r="A4" s="3">
        <f t="shared" si="1"/>
        <v>2</v>
      </c>
      <c r="B4" s="10"/>
      <c r="C4" s="10"/>
      <c r="D4" s="3" t="s">
        <v>28</v>
      </c>
      <c r="E4" s="9" t="s">
        <v>29</v>
      </c>
      <c r="F4" s="8"/>
      <c r="G4" s="9" t="s">
        <v>30</v>
      </c>
      <c r="H4" s="9" t="s">
        <v>31</v>
      </c>
      <c r="I4" s="6" t="s">
        <v>19</v>
      </c>
      <c r="J4" s="9" t="s">
        <v>32</v>
      </c>
      <c r="K4" s="9"/>
      <c r="L4" s="3" t="s">
        <v>21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7.5" customHeight="1">
      <c r="A5" s="3">
        <f t="shared" si="1"/>
        <v>3</v>
      </c>
      <c r="B5" s="4" t="s">
        <v>33</v>
      </c>
      <c r="C5" s="4" t="s">
        <v>34</v>
      </c>
      <c r="D5" s="11" t="s">
        <v>35</v>
      </c>
      <c r="E5" s="12" t="s">
        <v>36</v>
      </c>
      <c r="F5" s="8"/>
      <c r="G5" s="13" t="s">
        <v>37</v>
      </c>
      <c r="H5" s="13" t="s">
        <v>38</v>
      </c>
      <c r="I5" s="6" t="s">
        <v>19</v>
      </c>
      <c r="J5" s="13" t="s">
        <v>39</v>
      </c>
      <c r="K5" s="14"/>
      <c r="L5" s="3" t="s">
        <v>21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7.5" customHeight="1">
      <c r="A6" s="3">
        <f t="shared" si="1"/>
        <v>4</v>
      </c>
      <c r="B6" s="8"/>
      <c r="C6" s="8"/>
      <c r="D6" s="8"/>
      <c r="E6" s="8"/>
      <c r="F6" s="8"/>
      <c r="G6" s="13" t="s">
        <v>40</v>
      </c>
      <c r="H6" s="13" t="s">
        <v>41</v>
      </c>
      <c r="I6" s="6" t="s">
        <v>19</v>
      </c>
      <c r="J6" s="13" t="s">
        <v>42</v>
      </c>
      <c r="K6" s="14"/>
      <c r="L6" s="3" t="s">
        <v>21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7.5" customHeight="1">
      <c r="A7" s="3">
        <f t="shared" si="1"/>
        <v>5</v>
      </c>
      <c r="B7" s="8"/>
      <c r="C7" s="8"/>
      <c r="D7" s="8"/>
      <c r="E7" s="8"/>
      <c r="F7" s="8"/>
      <c r="G7" s="13" t="s">
        <v>43</v>
      </c>
      <c r="H7" s="13" t="s">
        <v>41</v>
      </c>
      <c r="I7" s="6" t="s">
        <v>19</v>
      </c>
      <c r="J7" s="13" t="s">
        <v>42</v>
      </c>
      <c r="K7" s="14"/>
      <c r="L7" s="3" t="s">
        <v>21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7.5" customHeight="1">
      <c r="A8" s="3">
        <f t="shared" si="1"/>
        <v>6</v>
      </c>
      <c r="B8" s="8"/>
      <c r="C8" s="8"/>
      <c r="D8" s="8"/>
      <c r="E8" s="10"/>
      <c r="F8" s="8"/>
      <c r="G8" s="13" t="s">
        <v>44</v>
      </c>
      <c r="H8" s="13" t="s">
        <v>41</v>
      </c>
      <c r="I8" s="6" t="s">
        <v>19</v>
      </c>
      <c r="J8" s="13" t="s">
        <v>42</v>
      </c>
      <c r="K8" s="14"/>
      <c r="L8" s="3" t="s">
        <v>21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7.5" customHeight="1">
      <c r="A9" s="3">
        <f t="shared" si="1"/>
        <v>7</v>
      </c>
      <c r="B9" s="8"/>
      <c r="C9" s="8"/>
      <c r="D9" s="8"/>
      <c r="E9" s="15" t="s">
        <v>45</v>
      </c>
      <c r="F9" s="8"/>
      <c r="G9" s="13" t="s">
        <v>46</v>
      </c>
      <c r="H9" s="13" t="s">
        <v>47</v>
      </c>
      <c r="I9" s="6" t="s">
        <v>19</v>
      </c>
      <c r="J9" s="16" t="s">
        <v>48</v>
      </c>
      <c r="K9" s="14"/>
      <c r="L9" s="3" t="s">
        <v>21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7.5" customHeight="1">
      <c r="A10" s="3">
        <f t="shared" si="1"/>
        <v>8</v>
      </c>
      <c r="B10" s="8"/>
      <c r="C10" s="8"/>
      <c r="D10" s="8"/>
      <c r="E10" s="10"/>
      <c r="F10" s="8"/>
      <c r="G10" s="13" t="s">
        <v>49</v>
      </c>
      <c r="H10" s="13" t="s">
        <v>50</v>
      </c>
      <c r="I10" s="6" t="s">
        <v>19</v>
      </c>
      <c r="J10" s="13" t="s">
        <v>51</v>
      </c>
      <c r="K10" s="14"/>
      <c r="L10" s="3" t="s">
        <v>21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7.5" customHeight="1">
      <c r="A11" s="3">
        <f t="shared" si="1"/>
        <v>9</v>
      </c>
      <c r="B11" s="8"/>
      <c r="C11" s="8"/>
      <c r="D11" s="8"/>
      <c r="E11" s="12" t="s">
        <v>52</v>
      </c>
      <c r="F11" s="8"/>
      <c r="G11" s="13" t="s">
        <v>53</v>
      </c>
      <c r="H11" s="16" t="s">
        <v>54</v>
      </c>
      <c r="I11" s="6" t="s">
        <v>19</v>
      </c>
      <c r="J11" s="16" t="s">
        <v>55</v>
      </c>
      <c r="K11" s="14"/>
      <c r="L11" s="3" t="s">
        <v>21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7.5" customHeight="1">
      <c r="A12" s="3">
        <f t="shared" si="1"/>
        <v>10</v>
      </c>
      <c r="B12" s="8"/>
      <c r="C12" s="8"/>
      <c r="D12" s="8"/>
      <c r="E12" s="10"/>
      <c r="F12" s="8"/>
      <c r="G12" s="13" t="s">
        <v>56</v>
      </c>
      <c r="H12" s="13" t="s">
        <v>57</v>
      </c>
      <c r="I12" s="6" t="s">
        <v>19</v>
      </c>
      <c r="J12" s="13" t="s">
        <v>58</v>
      </c>
      <c r="K12" s="14"/>
      <c r="L12" s="3" t="s">
        <v>21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52.5" customHeight="1">
      <c r="A13" s="3">
        <f t="shared" si="1"/>
        <v>11</v>
      </c>
      <c r="B13" s="8"/>
      <c r="C13" s="8"/>
      <c r="D13" s="8"/>
      <c r="E13" s="13" t="s">
        <v>59</v>
      </c>
      <c r="F13" s="8"/>
      <c r="G13" s="13" t="s">
        <v>60</v>
      </c>
      <c r="H13" s="13" t="s">
        <v>61</v>
      </c>
      <c r="I13" s="6" t="s">
        <v>19</v>
      </c>
      <c r="J13" s="13" t="s">
        <v>62</v>
      </c>
      <c r="K13" s="14"/>
      <c r="L13" s="3" t="s">
        <v>21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52.5" customHeight="1">
      <c r="A14" s="3">
        <f t="shared" si="1"/>
        <v>12</v>
      </c>
      <c r="B14" s="8"/>
      <c r="C14" s="8"/>
      <c r="D14" s="10"/>
      <c r="E14" s="13" t="s">
        <v>63</v>
      </c>
      <c r="F14" s="8"/>
      <c r="G14" s="13" t="s">
        <v>64</v>
      </c>
      <c r="H14" s="13" t="s">
        <v>65</v>
      </c>
      <c r="I14" s="6" t="s">
        <v>19</v>
      </c>
      <c r="J14" s="13" t="s">
        <v>66</v>
      </c>
      <c r="K14" s="14"/>
      <c r="L14" s="3" t="s">
        <v>21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52.5" customHeight="1">
      <c r="A15" s="3">
        <f t="shared" si="1"/>
        <v>13</v>
      </c>
      <c r="B15" s="8"/>
      <c r="C15" s="8"/>
      <c r="D15" s="11" t="s">
        <v>67</v>
      </c>
      <c r="E15" s="15" t="s">
        <v>68</v>
      </c>
      <c r="F15" s="8"/>
      <c r="G15" s="13" t="s">
        <v>69</v>
      </c>
      <c r="H15" s="13" t="s">
        <v>70</v>
      </c>
      <c r="I15" s="6" t="s">
        <v>19</v>
      </c>
      <c r="J15" s="13" t="s">
        <v>71</v>
      </c>
      <c r="K15" s="14"/>
      <c r="L15" s="3" t="s">
        <v>21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52.5" customHeight="1">
      <c r="A16" s="3">
        <f t="shared" si="1"/>
        <v>14</v>
      </c>
      <c r="B16" s="8"/>
      <c r="C16" s="8"/>
      <c r="D16" s="10"/>
      <c r="E16" s="10"/>
      <c r="F16" s="8"/>
      <c r="G16" s="13" t="s">
        <v>72</v>
      </c>
      <c r="H16" s="13" t="s">
        <v>73</v>
      </c>
      <c r="I16" s="6" t="s">
        <v>19</v>
      </c>
      <c r="J16" s="13" t="s">
        <v>74</v>
      </c>
      <c r="K16" s="14"/>
      <c r="L16" s="3" t="s">
        <v>21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60.0" customHeight="1">
      <c r="A17" s="3">
        <f t="shared" si="1"/>
        <v>15</v>
      </c>
      <c r="B17" s="8"/>
      <c r="C17" s="8"/>
      <c r="D17" s="11" t="s">
        <v>75</v>
      </c>
      <c r="E17" s="15" t="s">
        <v>76</v>
      </c>
      <c r="F17" s="8"/>
      <c r="G17" s="13" t="s">
        <v>77</v>
      </c>
      <c r="H17" s="13" t="s">
        <v>78</v>
      </c>
      <c r="I17" s="6" t="s">
        <v>19</v>
      </c>
      <c r="J17" s="13" t="s">
        <v>79</v>
      </c>
      <c r="K17" s="14"/>
      <c r="L17" s="3" t="s">
        <v>21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52.5" customHeight="1">
      <c r="A18" s="3">
        <f t="shared" si="1"/>
        <v>16</v>
      </c>
      <c r="B18" s="8"/>
      <c r="C18" s="8"/>
      <c r="D18" s="10"/>
      <c r="E18" s="10"/>
      <c r="F18" s="10"/>
      <c r="G18" s="13" t="s">
        <v>80</v>
      </c>
      <c r="H18" s="13" t="s">
        <v>81</v>
      </c>
      <c r="I18" s="6" t="s">
        <v>19</v>
      </c>
      <c r="J18" s="13" t="s">
        <v>82</v>
      </c>
      <c r="K18" s="14"/>
      <c r="L18" s="3" t="s">
        <v>21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52.5" customHeight="1">
      <c r="A19" s="3">
        <f t="shared" si="1"/>
        <v>17</v>
      </c>
      <c r="B19" s="8"/>
      <c r="C19" s="8"/>
      <c r="D19" s="4" t="s">
        <v>83</v>
      </c>
      <c r="E19" s="17" t="s">
        <v>84</v>
      </c>
      <c r="F19" s="4" t="s">
        <v>85</v>
      </c>
      <c r="G19" s="18" t="s">
        <v>86</v>
      </c>
      <c r="H19" s="19" t="s">
        <v>87</v>
      </c>
      <c r="I19" s="6" t="s">
        <v>19</v>
      </c>
      <c r="J19" s="19" t="s">
        <v>88</v>
      </c>
      <c r="K19" s="9"/>
      <c r="L19" s="3" t="s">
        <v>89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52.5" customHeight="1">
      <c r="A20" s="3">
        <f t="shared" si="1"/>
        <v>18</v>
      </c>
      <c r="B20" s="8"/>
      <c r="C20" s="8"/>
      <c r="D20" s="8"/>
      <c r="E20" s="10"/>
      <c r="F20" s="8"/>
      <c r="G20" s="18" t="s">
        <v>90</v>
      </c>
      <c r="H20" s="19" t="s">
        <v>91</v>
      </c>
      <c r="I20" s="6" t="s">
        <v>19</v>
      </c>
      <c r="J20" s="19" t="s">
        <v>92</v>
      </c>
      <c r="K20" s="9"/>
      <c r="L20" s="3" t="s">
        <v>89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7.5" customHeight="1">
      <c r="A21" s="3">
        <f t="shared" si="1"/>
        <v>19</v>
      </c>
      <c r="B21" s="8"/>
      <c r="C21" s="8"/>
      <c r="D21" s="8"/>
      <c r="E21" s="20" t="s">
        <v>93</v>
      </c>
      <c r="F21" s="8"/>
      <c r="G21" s="18" t="s">
        <v>94</v>
      </c>
      <c r="H21" s="19" t="s">
        <v>87</v>
      </c>
      <c r="I21" s="6" t="s">
        <v>19</v>
      </c>
      <c r="J21" s="19" t="s">
        <v>95</v>
      </c>
      <c r="K21" s="9"/>
      <c r="L21" s="3" t="s">
        <v>89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7.5" customHeight="1">
      <c r="A22" s="3">
        <f t="shared" si="1"/>
        <v>20</v>
      </c>
      <c r="B22" s="8"/>
      <c r="C22" s="8"/>
      <c r="D22" s="8"/>
      <c r="E22" s="10"/>
      <c r="F22" s="8"/>
      <c r="G22" s="18" t="s">
        <v>96</v>
      </c>
      <c r="H22" s="19" t="s">
        <v>97</v>
      </c>
      <c r="I22" s="6" t="s">
        <v>19</v>
      </c>
      <c r="J22" s="19" t="s">
        <v>98</v>
      </c>
      <c r="K22" s="9"/>
      <c r="L22" s="3" t="s">
        <v>89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7.5" customHeight="1">
      <c r="A23" s="3">
        <f t="shared" si="1"/>
        <v>21</v>
      </c>
      <c r="B23" s="8"/>
      <c r="C23" s="8"/>
      <c r="D23" s="8"/>
      <c r="E23" s="20" t="s">
        <v>99</v>
      </c>
      <c r="F23" s="8"/>
      <c r="G23" s="18" t="s">
        <v>100</v>
      </c>
      <c r="H23" s="19" t="s">
        <v>87</v>
      </c>
      <c r="I23" s="6" t="s">
        <v>19</v>
      </c>
      <c r="J23" s="18" t="s">
        <v>101</v>
      </c>
      <c r="K23" s="9"/>
      <c r="L23" s="3" t="s">
        <v>89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7.5" customHeight="1">
      <c r="A24" s="3">
        <f t="shared" si="1"/>
        <v>22</v>
      </c>
      <c r="B24" s="8"/>
      <c r="C24" s="8"/>
      <c r="D24" s="8"/>
      <c r="E24" s="10"/>
      <c r="F24" s="8"/>
      <c r="G24" s="18" t="s">
        <v>102</v>
      </c>
      <c r="H24" s="18" t="s">
        <v>103</v>
      </c>
      <c r="I24" s="6" t="s">
        <v>104</v>
      </c>
      <c r="J24" s="18" t="s">
        <v>105</v>
      </c>
      <c r="K24" s="9"/>
      <c r="L24" s="3" t="s">
        <v>89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7.5" customHeight="1">
      <c r="A25" s="3">
        <f t="shared" si="1"/>
        <v>23</v>
      </c>
      <c r="B25" s="8"/>
      <c r="C25" s="8"/>
      <c r="D25" s="8"/>
      <c r="E25" s="17" t="s">
        <v>106</v>
      </c>
      <c r="F25" s="8"/>
      <c r="G25" s="18" t="s">
        <v>107</v>
      </c>
      <c r="H25" s="19" t="s">
        <v>87</v>
      </c>
      <c r="I25" s="6" t="s">
        <v>19</v>
      </c>
      <c r="J25" s="18" t="s">
        <v>101</v>
      </c>
      <c r="K25" s="21"/>
      <c r="L25" s="3" t="s">
        <v>89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7.5" customHeight="1">
      <c r="A26" s="3">
        <f t="shared" si="1"/>
        <v>24</v>
      </c>
      <c r="B26" s="8"/>
      <c r="C26" s="8"/>
      <c r="D26" s="8"/>
      <c r="E26" s="10"/>
      <c r="F26" s="8"/>
      <c r="G26" s="18" t="s">
        <v>108</v>
      </c>
      <c r="H26" s="18" t="s">
        <v>109</v>
      </c>
      <c r="I26" s="6" t="s">
        <v>104</v>
      </c>
      <c r="J26" s="18" t="s">
        <v>105</v>
      </c>
      <c r="K26" s="21"/>
      <c r="L26" s="3" t="s">
        <v>89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7.5" customHeight="1">
      <c r="A27" s="3">
        <f t="shared" si="1"/>
        <v>25</v>
      </c>
      <c r="B27" s="8"/>
      <c r="C27" s="8"/>
      <c r="D27" s="8"/>
      <c r="E27" s="22" t="s">
        <v>110</v>
      </c>
      <c r="F27" s="8"/>
      <c r="G27" s="18" t="s">
        <v>111</v>
      </c>
      <c r="H27" s="19" t="s">
        <v>87</v>
      </c>
      <c r="I27" s="6" t="s">
        <v>19</v>
      </c>
      <c r="J27" s="18" t="s">
        <v>101</v>
      </c>
      <c r="K27" s="21"/>
      <c r="L27" s="3" t="s">
        <v>89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7.5" customHeight="1">
      <c r="A28" s="3">
        <f t="shared" si="1"/>
        <v>26</v>
      </c>
      <c r="B28" s="8"/>
      <c r="C28" s="8"/>
      <c r="D28" s="8"/>
      <c r="E28" s="10"/>
      <c r="F28" s="8"/>
      <c r="G28" s="18" t="s">
        <v>112</v>
      </c>
      <c r="H28" s="18" t="s">
        <v>113</v>
      </c>
      <c r="I28" s="6" t="s">
        <v>104</v>
      </c>
      <c r="J28" s="18" t="s">
        <v>105</v>
      </c>
      <c r="K28" s="21"/>
      <c r="L28" s="3" t="s">
        <v>89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7.5" customHeight="1">
      <c r="A29" s="3">
        <f t="shared" si="1"/>
        <v>27</v>
      </c>
      <c r="B29" s="8"/>
      <c r="C29" s="8"/>
      <c r="D29" s="8"/>
      <c r="E29" s="22" t="s">
        <v>114</v>
      </c>
      <c r="F29" s="8"/>
      <c r="G29" s="18" t="s">
        <v>115</v>
      </c>
      <c r="H29" s="19" t="s">
        <v>87</v>
      </c>
      <c r="I29" s="6" t="s">
        <v>19</v>
      </c>
      <c r="J29" s="18" t="s">
        <v>101</v>
      </c>
      <c r="K29" s="21"/>
      <c r="L29" s="3" t="s">
        <v>89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7.5" customHeight="1">
      <c r="A30" s="3">
        <f t="shared" si="1"/>
        <v>28</v>
      </c>
      <c r="B30" s="8"/>
      <c r="C30" s="8"/>
      <c r="D30" s="10"/>
      <c r="E30" s="8"/>
      <c r="F30" s="8"/>
      <c r="G30" s="18" t="s">
        <v>116</v>
      </c>
      <c r="H30" s="18" t="s">
        <v>117</v>
      </c>
      <c r="I30" s="6" t="s">
        <v>19</v>
      </c>
      <c r="J30" s="18" t="s">
        <v>118</v>
      </c>
      <c r="K30" s="21"/>
      <c r="L30" s="3" t="s">
        <v>89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7.5" customHeight="1">
      <c r="A31" s="3">
        <f t="shared" si="1"/>
        <v>29</v>
      </c>
      <c r="B31" s="8"/>
      <c r="C31" s="8"/>
      <c r="D31" s="23" t="s">
        <v>67</v>
      </c>
      <c r="E31" s="10"/>
      <c r="F31" s="8"/>
      <c r="G31" s="18" t="s">
        <v>119</v>
      </c>
      <c r="H31" s="18" t="s">
        <v>120</v>
      </c>
      <c r="I31" s="6" t="s">
        <v>19</v>
      </c>
      <c r="J31" s="18" t="s">
        <v>121</v>
      </c>
      <c r="K31" s="21"/>
      <c r="L31" s="3" t="s">
        <v>89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7.5" customHeight="1">
      <c r="A32" s="3">
        <f t="shared" si="1"/>
        <v>30</v>
      </c>
      <c r="B32" s="8"/>
      <c r="C32" s="8"/>
      <c r="D32" s="8"/>
      <c r="E32" s="22" t="s">
        <v>122</v>
      </c>
      <c r="F32" s="8"/>
      <c r="G32" s="18" t="s">
        <v>123</v>
      </c>
      <c r="H32" s="18" t="s">
        <v>124</v>
      </c>
      <c r="I32" s="6" t="s">
        <v>19</v>
      </c>
      <c r="J32" s="18" t="s">
        <v>125</v>
      </c>
      <c r="K32" s="21"/>
      <c r="L32" s="3" t="s">
        <v>89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7.5" customHeight="1">
      <c r="A33" s="3">
        <f t="shared" si="1"/>
        <v>31</v>
      </c>
      <c r="B33" s="8"/>
      <c r="C33" s="8"/>
      <c r="D33" s="8"/>
      <c r="E33" s="8"/>
      <c r="F33" s="8"/>
      <c r="G33" s="18" t="s">
        <v>126</v>
      </c>
      <c r="H33" s="18" t="s">
        <v>127</v>
      </c>
      <c r="I33" s="6" t="s">
        <v>19</v>
      </c>
      <c r="J33" s="18" t="s">
        <v>128</v>
      </c>
      <c r="K33" s="21"/>
      <c r="L33" s="3" t="s">
        <v>89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7.5" customHeight="1">
      <c r="A34" s="3">
        <f t="shared" si="1"/>
        <v>32</v>
      </c>
      <c r="B34" s="8"/>
      <c r="C34" s="8"/>
      <c r="D34" s="8"/>
      <c r="E34" s="8"/>
      <c r="F34" s="8"/>
      <c r="G34" s="18" t="s">
        <v>129</v>
      </c>
      <c r="H34" s="18" t="s">
        <v>130</v>
      </c>
      <c r="I34" s="6" t="s">
        <v>19</v>
      </c>
      <c r="J34" s="18" t="s">
        <v>131</v>
      </c>
      <c r="K34" s="21"/>
      <c r="L34" s="3" t="s">
        <v>89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7.5" customHeight="1">
      <c r="A35" s="3">
        <f t="shared" si="1"/>
        <v>33</v>
      </c>
      <c r="B35" s="8"/>
      <c r="C35" s="8"/>
      <c r="D35" s="8"/>
      <c r="E35" s="8"/>
      <c r="F35" s="8"/>
      <c r="G35" s="18" t="s">
        <v>132</v>
      </c>
      <c r="H35" s="18" t="s">
        <v>133</v>
      </c>
      <c r="I35" s="6" t="s">
        <v>19</v>
      </c>
      <c r="J35" s="18" t="s">
        <v>134</v>
      </c>
      <c r="K35" s="21"/>
      <c r="L35" s="3" t="s">
        <v>89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7.5" customHeight="1">
      <c r="A36" s="3">
        <f t="shared" si="1"/>
        <v>34</v>
      </c>
      <c r="B36" s="8"/>
      <c r="C36" s="8"/>
      <c r="D36" s="8"/>
      <c r="E36" s="10"/>
      <c r="F36" s="8"/>
      <c r="G36" s="18" t="s">
        <v>135</v>
      </c>
      <c r="H36" s="18" t="s">
        <v>136</v>
      </c>
      <c r="I36" s="6" t="s">
        <v>19</v>
      </c>
      <c r="J36" s="18" t="s">
        <v>125</v>
      </c>
      <c r="K36" s="9"/>
      <c r="L36" s="3" t="s">
        <v>89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7.5" customHeight="1">
      <c r="A37" s="3">
        <f t="shared" si="1"/>
        <v>35</v>
      </c>
      <c r="B37" s="8"/>
      <c r="C37" s="8"/>
      <c r="D37" s="8"/>
      <c r="E37" s="22" t="s">
        <v>137</v>
      </c>
      <c r="F37" s="8"/>
      <c r="G37" s="18" t="s">
        <v>138</v>
      </c>
      <c r="H37" s="18" t="s">
        <v>139</v>
      </c>
      <c r="I37" s="6" t="s">
        <v>19</v>
      </c>
      <c r="J37" s="18" t="s">
        <v>140</v>
      </c>
      <c r="K37" s="9"/>
      <c r="L37" s="3" t="s">
        <v>89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7.5" customHeight="1">
      <c r="A38" s="3">
        <f t="shared" si="1"/>
        <v>36</v>
      </c>
      <c r="B38" s="8"/>
      <c r="C38" s="8"/>
      <c r="D38" s="8"/>
      <c r="E38" s="8"/>
      <c r="F38" s="8"/>
      <c r="G38" s="18" t="s">
        <v>126</v>
      </c>
      <c r="H38" s="18" t="s">
        <v>141</v>
      </c>
      <c r="I38" s="6" t="s">
        <v>19</v>
      </c>
      <c r="J38" s="18" t="s">
        <v>142</v>
      </c>
      <c r="K38" s="9"/>
      <c r="L38" s="3" t="s">
        <v>89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7.5" customHeight="1">
      <c r="A39" s="3">
        <f t="shared" si="1"/>
        <v>37</v>
      </c>
      <c r="B39" s="8"/>
      <c r="C39" s="8"/>
      <c r="D39" s="8"/>
      <c r="E39" s="8"/>
      <c r="F39" s="8"/>
      <c r="G39" s="18" t="s">
        <v>129</v>
      </c>
      <c r="H39" s="18" t="s">
        <v>130</v>
      </c>
      <c r="I39" s="6" t="s">
        <v>19</v>
      </c>
      <c r="J39" s="18" t="s">
        <v>131</v>
      </c>
      <c r="K39" s="24"/>
      <c r="L39" s="3" t="s">
        <v>89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7.5" customHeight="1">
      <c r="A40" s="3">
        <f t="shared" si="1"/>
        <v>38</v>
      </c>
      <c r="B40" s="8"/>
      <c r="C40" s="8"/>
      <c r="D40" s="8"/>
      <c r="E40" s="8"/>
      <c r="F40" s="8"/>
      <c r="G40" s="18" t="s">
        <v>132</v>
      </c>
      <c r="H40" s="18" t="s">
        <v>133</v>
      </c>
      <c r="I40" s="6" t="s">
        <v>19</v>
      </c>
      <c r="J40" s="18" t="s">
        <v>134</v>
      </c>
      <c r="K40" s="24"/>
      <c r="L40" s="3" t="s">
        <v>89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7.5" customHeight="1">
      <c r="A41" s="3">
        <f t="shared" si="1"/>
        <v>39</v>
      </c>
      <c r="B41" s="8"/>
      <c r="C41" s="8"/>
      <c r="D41" s="8"/>
      <c r="E41" s="10"/>
      <c r="F41" s="8"/>
      <c r="G41" s="18" t="s">
        <v>143</v>
      </c>
      <c r="H41" s="18" t="s">
        <v>144</v>
      </c>
      <c r="I41" s="6" t="s">
        <v>19</v>
      </c>
      <c r="J41" s="18" t="s">
        <v>145</v>
      </c>
      <c r="K41" s="9"/>
      <c r="L41" s="3" t="s">
        <v>89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7.5" customHeight="1">
      <c r="A42" s="3">
        <f t="shared" si="1"/>
        <v>40</v>
      </c>
      <c r="B42" s="8"/>
      <c r="C42" s="8"/>
      <c r="D42" s="8"/>
      <c r="E42" s="17" t="s">
        <v>146</v>
      </c>
      <c r="F42" s="8"/>
      <c r="G42" s="18" t="s">
        <v>147</v>
      </c>
      <c r="H42" s="18" t="s">
        <v>148</v>
      </c>
      <c r="I42" s="6" t="s">
        <v>19</v>
      </c>
      <c r="J42" s="18" t="s">
        <v>125</v>
      </c>
      <c r="K42" s="9"/>
      <c r="L42" s="3" t="s">
        <v>89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7.5" customHeight="1">
      <c r="A43" s="3">
        <f t="shared" si="1"/>
        <v>41</v>
      </c>
      <c r="B43" s="8"/>
      <c r="C43" s="8"/>
      <c r="D43" s="8"/>
      <c r="E43" s="8"/>
      <c r="F43" s="8"/>
      <c r="G43" s="18" t="s">
        <v>126</v>
      </c>
      <c r="H43" s="18" t="s">
        <v>149</v>
      </c>
      <c r="I43" s="6" t="s">
        <v>19</v>
      </c>
      <c r="J43" s="18" t="s">
        <v>150</v>
      </c>
      <c r="K43" s="9"/>
      <c r="L43" s="3" t="s">
        <v>89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7.5" customHeight="1">
      <c r="A44" s="3">
        <f t="shared" si="1"/>
        <v>42</v>
      </c>
      <c r="B44" s="8"/>
      <c r="C44" s="8"/>
      <c r="D44" s="8"/>
      <c r="E44" s="8"/>
      <c r="F44" s="8"/>
      <c r="G44" s="18" t="s">
        <v>129</v>
      </c>
      <c r="H44" s="18" t="s">
        <v>130</v>
      </c>
      <c r="I44" s="6" t="s">
        <v>19</v>
      </c>
      <c r="J44" s="18" t="s">
        <v>131</v>
      </c>
      <c r="K44" s="9"/>
      <c r="L44" s="3" t="s">
        <v>89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7.5" customHeight="1">
      <c r="A45" s="3">
        <f t="shared" si="1"/>
        <v>43</v>
      </c>
      <c r="B45" s="8"/>
      <c r="C45" s="8"/>
      <c r="D45" s="8"/>
      <c r="E45" s="8"/>
      <c r="F45" s="8"/>
      <c r="G45" s="18" t="s">
        <v>132</v>
      </c>
      <c r="H45" s="18" t="s">
        <v>133</v>
      </c>
      <c r="I45" s="6" t="s">
        <v>19</v>
      </c>
      <c r="J45" s="18" t="s">
        <v>134</v>
      </c>
      <c r="K45" s="24"/>
      <c r="L45" s="3" t="s">
        <v>89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44.25" customHeight="1">
      <c r="A46" s="3">
        <f t="shared" si="1"/>
        <v>44</v>
      </c>
      <c r="B46" s="8"/>
      <c r="C46" s="8"/>
      <c r="D46" s="8"/>
      <c r="E46" s="10"/>
      <c r="F46" s="8"/>
      <c r="G46" s="18" t="s">
        <v>151</v>
      </c>
      <c r="H46" s="18" t="s">
        <v>152</v>
      </c>
      <c r="I46" s="6" t="s">
        <v>19</v>
      </c>
      <c r="J46" s="18" t="s">
        <v>153</v>
      </c>
      <c r="K46" s="9"/>
      <c r="L46" s="3" t="s">
        <v>89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7.5" customHeight="1">
      <c r="A47" s="3">
        <f t="shared" si="1"/>
        <v>45</v>
      </c>
      <c r="B47" s="8"/>
      <c r="C47" s="8"/>
      <c r="D47" s="8"/>
      <c r="E47" s="17" t="s">
        <v>154</v>
      </c>
      <c r="F47" s="8"/>
      <c r="G47" s="18" t="s">
        <v>155</v>
      </c>
      <c r="H47" s="18" t="s">
        <v>156</v>
      </c>
      <c r="I47" s="6" t="s">
        <v>19</v>
      </c>
      <c r="J47" s="18" t="s">
        <v>157</v>
      </c>
      <c r="K47" s="9"/>
      <c r="L47" s="3" t="s">
        <v>89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7.5" customHeight="1">
      <c r="A48" s="3">
        <f t="shared" si="1"/>
        <v>46</v>
      </c>
      <c r="B48" s="8"/>
      <c r="C48" s="8"/>
      <c r="D48" s="8"/>
      <c r="E48" s="8"/>
      <c r="F48" s="8"/>
      <c r="G48" s="18" t="s">
        <v>126</v>
      </c>
      <c r="H48" s="18" t="s">
        <v>149</v>
      </c>
      <c r="I48" s="6" t="s">
        <v>19</v>
      </c>
      <c r="J48" s="18" t="s">
        <v>150</v>
      </c>
      <c r="K48" s="9"/>
      <c r="L48" s="3" t="s">
        <v>89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7.5" customHeight="1">
      <c r="A49" s="3">
        <f t="shared" si="1"/>
        <v>47</v>
      </c>
      <c r="B49" s="8"/>
      <c r="C49" s="8"/>
      <c r="D49" s="8"/>
      <c r="E49" s="8"/>
      <c r="F49" s="8"/>
      <c r="G49" s="18" t="s">
        <v>129</v>
      </c>
      <c r="H49" s="18" t="s">
        <v>130</v>
      </c>
      <c r="I49" s="6" t="s">
        <v>19</v>
      </c>
      <c r="J49" s="18" t="s">
        <v>131</v>
      </c>
      <c r="K49" s="24"/>
      <c r="L49" s="3" t="s">
        <v>89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7.5" customHeight="1">
      <c r="A50" s="3">
        <f t="shared" si="1"/>
        <v>48</v>
      </c>
      <c r="B50" s="8"/>
      <c r="C50" s="8"/>
      <c r="D50" s="8"/>
      <c r="E50" s="8"/>
      <c r="F50" s="8"/>
      <c r="G50" s="18" t="s">
        <v>132</v>
      </c>
      <c r="H50" s="18" t="s">
        <v>133</v>
      </c>
      <c r="I50" s="6" t="s">
        <v>19</v>
      </c>
      <c r="J50" s="18" t="s">
        <v>134</v>
      </c>
      <c r="K50" s="24"/>
      <c r="L50" s="3" t="s">
        <v>89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7.5" customHeight="1">
      <c r="A51" s="3">
        <f t="shared" si="1"/>
        <v>49</v>
      </c>
      <c r="B51" s="8"/>
      <c r="C51" s="8"/>
      <c r="D51" s="8"/>
      <c r="E51" s="10"/>
      <c r="F51" s="8"/>
      <c r="G51" s="18" t="s">
        <v>158</v>
      </c>
      <c r="H51" s="18" t="s">
        <v>159</v>
      </c>
      <c r="I51" s="6" t="s">
        <v>19</v>
      </c>
      <c r="J51" s="18" t="s">
        <v>160</v>
      </c>
      <c r="K51" s="24"/>
      <c r="L51" s="3" t="s">
        <v>89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7.5" customHeight="1">
      <c r="A52" s="3">
        <f t="shared" si="1"/>
        <v>50</v>
      </c>
      <c r="B52" s="8"/>
      <c r="C52" s="8"/>
      <c r="D52" s="8"/>
      <c r="E52" s="17" t="s">
        <v>161</v>
      </c>
      <c r="F52" s="8"/>
      <c r="G52" s="18" t="s">
        <v>162</v>
      </c>
      <c r="H52" s="18" t="s">
        <v>156</v>
      </c>
      <c r="I52" s="6" t="s">
        <v>19</v>
      </c>
      <c r="J52" s="18" t="s">
        <v>157</v>
      </c>
      <c r="K52" s="25"/>
      <c r="L52" s="3" t="s">
        <v>89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7.5" customHeight="1">
      <c r="A53" s="3">
        <f t="shared" si="1"/>
        <v>51</v>
      </c>
      <c r="B53" s="8"/>
      <c r="C53" s="8"/>
      <c r="D53" s="8"/>
      <c r="E53" s="8"/>
      <c r="F53" s="8"/>
      <c r="G53" s="18" t="s">
        <v>126</v>
      </c>
      <c r="H53" s="18" t="s">
        <v>163</v>
      </c>
      <c r="I53" s="6" t="s">
        <v>19</v>
      </c>
      <c r="J53" s="18" t="s">
        <v>150</v>
      </c>
      <c r="K53" s="24"/>
      <c r="L53" s="3" t="s">
        <v>89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7.5" customHeight="1">
      <c r="A54" s="3">
        <f t="shared" si="1"/>
        <v>52</v>
      </c>
      <c r="B54" s="8"/>
      <c r="C54" s="8"/>
      <c r="D54" s="8"/>
      <c r="E54" s="8"/>
      <c r="F54" s="8"/>
      <c r="G54" s="18" t="s">
        <v>129</v>
      </c>
      <c r="H54" s="18" t="s">
        <v>130</v>
      </c>
      <c r="I54" s="6" t="s">
        <v>19</v>
      </c>
      <c r="J54" s="18" t="s">
        <v>131</v>
      </c>
      <c r="K54" s="24"/>
      <c r="L54" s="3" t="s">
        <v>89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7.5" customHeight="1">
      <c r="A55" s="3">
        <f t="shared" si="1"/>
        <v>53</v>
      </c>
      <c r="B55" s="8"/>
      <c r="C55" s="8"/>
      <c r="D55" s="8"/>
      <c r="E55" s="8"/>
      <c r="F55" s="8"/>
      <c r="G55" s="18" t="s">
        <v>132</v>
      </c>
      <c r="H55" s="18" t="s">
        <v>133</v>
      </c>
      <c r="I55" s="6" t="s">
        <v>19</v>
      </c>
      <c r="J55" s="18" t="s">
        <v>134</v>
      </c>
      <c r="K55" s="24"/>
      <c r="L55" s="3" t="s">
        <v>89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7.5" customHeight="1">
      <c r="A56" s="3">
        <f t="shared" si="1"/>
        <v>54</v>
      </c>
      <c r="B56" s="8"/>
      <c r="C56" s="8"/>
      <c r="D56" s="8"/>
      <c r="E56" s="10"/>
      <c r="F56" s="8"/>
      <c r="G56" s="18" t="s">
        <v>164</v>
      </c>
      <c r="H56" s="18" t="s">
        <v>165</v>
      </c>
      <c r="I56" s="6" t="s">
        <v>19</v>
      </c>
      <c r="J56" s="18" t="s">
        <v>166</v>
      </c>
      <c r="K56" s="24"/>
      <c r="L56" s="3" t="s">
        <v>89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7.5" customHeight="1">
      <c r="A57" s="3">
        <f t="shared" si="1"/>
        <v>55</v>
      </c>
      <c r="B57" s="8"/>
      <c r="C57" s="8"/>
      <c r="D57" s="8"/>
      <c r="E57" s="17" t="s">
        <v>167</v>
      </c>
      <c r="F57" s="8"/>
      <c r="G57" s="18" t="s">
        <v>168</v>
      </c>
      <c r="H57" s="18" t="s">
        <v>156</v>
      </c>
      <c r="I57" s="6" t="s">
        <v>19</v>
      </c>
      <c r="J57" s="18" t="s">
        <v>157</v>
      </c>
      <c r="K57" s="24"/>
      <c r="L57" s="3" t="s">
        <v>89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7.5" customHeight="1">
      <c r="A58" s="3">
        <f t="shared" si="1"/>
        <v>56</v>
      </c>
      <c r="B58" s="8"/>
      <c r="C58" s="8"/>
      <c r="D58" s="8"/>
      <c r="E58" s="8"/>
      <c r="F58" s="8"/>
      <c r="G58" s="18" t="s">
        <v>126</v>
      </c>
      <c r="H58" s="18" t="s">
        <v>149</v>
      </c>
      <c r="I58" s="6" t="s">
        <v>19</v>
      </c>
      <c r="J58" s="18" t="s">
        <v>150</v>
      </c>
      <c r="K58" s="24"/>
      <c r="L58" s="3" t="s">
        <v>89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7.5" customHeight="1">
      <c r="A59" s="3">
        <f t="shared" si="1"/>
        <v>57</v>
      </c>
      <c r="B59" s="8"/>
      <c r="C59" s="8"/>
      <c r="D59" s="8"/>
      <c r="E59" s="8"/>
      <c r="F59" s="8"/>
      <c r="G59" s="18" t="s">
        <v>129</v>
      </c>
      <c r="H59" s="18" t="s">
        <v>130</v>
      </c>
      <c r="I59" s="6" t="s">
        <v>19</v>
      </c>
      <c r="J59" s="18" t="s">
        <v>131</v>
      </c>
      <c r="K59" s="24"/>
      <c r="L59" s="3" t="s">
        <v>89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7.5" customHeight="1">
      <c r="A60" s="3">
        <f t="shared" si="1"/>
        <v>58</v>
      </c>
      <c r="B60" s="8"/>
      <c r="C60" s="8"/>
      <c r="D60" s="8"/>
      <c r="E60" s="8"/>
      <c r="F60" s="8"/>
      <c r="G60" s="18" t="s">
        <v>132</v>
      </c>
      <c r="H60" s="18" t="s">
        <v>133</v>
      </c>
      <c r="I60" s="6" t="s">
        <v>19</v>
      </c>
      <c r="J60" s="18" t="s">
        <v>134</v>
      </c>
      <c r="K60" s="24"/>
      <c r="L60" s="3" t="s">
        <v>89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7.5" customHeight="1">
      <c r="A61" s="3">
        <f t="shared" si="1"/>
        <v>59</v>
      </c>
      <c r="B61" s="8"/>
      <c r="C61" s="8"/>
      <c r="D61" s="8"/>
      <c r="E61" s="10"/>
      <c r="F61" s="8"/>
      <c r="G61" s="18" t="s">
        <v>169</v>
      </c>
      <c r="H61" s="18" t="s">
        <v>170</v>
      </c>
      <c r="I61" s="6" t="s">
        <v>19</v>
      </c>
      <c r="J61" s="18" t="s">
        <v>171</v>
      </c>
      <c r="K61" s="24"/>
      <c r="L61" s="3" t="s">
        <v>89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7.5" customHeight="1">
      <c r="A62" s="3">
        <f t="shared" si="1"/>
        <v>60</v>
      </c>
      <c r="B62" s="8"/>
      <c r="C62" s="8"/>
      <c r="D62" s="8"/>
      <c r="E62" s="17" t="s">
        <v>172</v>
      </c>
      <c r="F62" s="8"/>
      <c r="G62" s="18" t="s">
        <v>173</v>
      </c>
      <c r="H62" s="18" t="s">
        <v>156</v>
      </c>
      <c r="I62" s="6" t="s">
        <v>19</v>
      </c>
      <c r="J62" s="18" t="s">
        <v>157</v>
      </c>
      <c r="K62" s="24"/>
      <c r="L62" s="3" t="s">
        <v>89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7.5" customHeight="1">
      <c r="A63" s="3">
        <f t="shared" si="1"/>
        <v>61</v>
      </c>
      <c r="B63" s="8"/>
      <c r="C63" s="8"/>
      <c r="D63" s="8"/>
      <c r="E63" s="8"/>
      <c r="F63" s="8"/>
      <c r="G63" s="18" t="s">
        <v>126</v>
      </c>
      <c r="H63" s="18" t="s">
        <v>149</v>
      </c>
      <c r="I63" s="6" t="s">
        <v>19</v>
      </c>
      <c r="J63" s="18" t="s">
        <v>150</v>
      </c>
      <c r="K63" s="24"/>
      <c r="L63" s="3" t="s">
        <v>89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7.5" customHeight="1">
      <c r="A64" s="3">
        <f t="shared" si="1"/>
        <v>62</v>
      </c>
      <c r="B64" s="8"/>
      <c r="C64" s="8"/>
      <c r="D64" s="8"/>
      <c r="E64" s="8"/>
      <c r="F64" s="8"/>
      <c r="G64" s="18" t="s">
        <v>129</v>
      </c>
      <c r="H64" s="18" t="s">
        <v>130</v>
      </c>
      <c r="I64" s="6" t="s">
        <v>19</v>
      </c>
      <c r="J64" s="18" t="s">
        <v>131</v>
      </c>
      <c r="K64" s="24"/>
      <c r="L64" s="3" t="s">
        <v>89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7.5" customHeight="1">
      <c r="A65" s="3">
        <f t="shared" si="1"/>
        <v>63</v>
      </c>
      <c r="B65" s="8"/>
      <c r="C65" s="8"/>
      <c r="D65" s="8"/>
      <c r="E65" s="8"/>
      <c r="F65" s="8"/>
      <c r="G65" s="18" t="s">
        <v>132</v>
      </c>
      <c r="H65" s="18" t="s">
        <v>133</v>
      </c>
      <c r="I65" s="6" t="s">
        <v>19</v>
      </c>
      <c r="J65" s="18" t="s">
        <v>134</v>
      </c>
      <c r="K65" s="24"/>
      <c r="L65" s="3" t="s">
        <v>89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7.5" customHeight="1">
      <c r="A66" s="3">
        <f t="shared" si="1"/>
        <v>64</v>
      </c>
      <c r="B66" s="8"/>
      <c r="C66" s="8"/>
      <c r="D66" s="8"/>
      <c r="E66" s="10"/>
      <c r="F66" s="8"/>
      <c r="G66" s="18" t="s">
        <v>174</v>
      </c>
      <c r="H66" s="19" t="s">
        <v>175</v>
      </c>
      <c r="I66" s="6" t="s">
        <v>19</v>
      </c>
      <c r="J66" s="19" t="s">
        <v>176</v>
      </c>
      <c r="K66" s="24"/>
      <c r="L66" s="3" t="s">
        <v>89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7.5" customHeight="1">
      <c r="A67" s="3">
        <f t="shared" si="1"/>
        <v>65</v>
      </c>
      <c r="B67" s="8"/>
      <c r="C67" s="8"/>
      <c r="D67" s="8"/>
      <c r="E67" s="17" t="s">
        <v>177</v>
      </c>
      <c r="F67" s="8"/>
      <c r="G67" s="18" t="s">
        <v>178</v>
      </c>
      <c r="H67" s="18" t="s">
        <v>156</v>
      </c>
      <c r="I67" s="6" t="s">
        <v>19</v>
      </c>
      <c r="J67" s="18" t="s">
        <v>157</v>
      </c>
      <c r="K67" s="24"/>
      <c r="L67" s="3" t="s">
        <v>89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7.5" customHeight="1">
      <c r="A68" s="3">
        <f t="shared" si="1"/>
        <v>66</v>
      </c>
      <c r="B68" s="8"/>
      <c r="C68" s="8"/>
      <c r="D68" s="8"/>
      <c r="E68" s="8"/>
      <c r="F68" s="8"/>
      <c r="G68" s="18" t="s">
        <v>126</v>
      </c>
      <c r="H68" s="18" t="s">
        <v>149</v>
      </c>
      <c r="I68" s="6" t="s">
        <v>19</v>
      </c>
      <c r="J68" s="18" t="s">
        <v>150</v>
      </c>
      <c r="K68" s="21"/>
      <c r="L68" s="3" t="s">
        <v>89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7.5" customHeight="1">
      <c r="A69" s="3">
        <f t="shared" si="1"/>
        <v>67</v>
      </c>
      <c r="B69" s="8"/>
      <c r="C69" s="8"/>
      <c r="D69" s="8"/>
      <c r="E69" s="8"/>
      <c r="F69" s="8"/>
      <c r="G69" s="18" t="s">
        <v>129</v>
      </c>
      <c r="H69" s="18" t="s">
        <v>130</v>
      </c>
      <c r="I69" s="6" t="s">
        <v>19</v>
      </c>
      <c r="J69" s="18" t="s">
        <v>131</v>
      </c>
      <c r="K69" s="21"/>
      <c r="L69" s="3" t="s">
        <v>89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7.5" customHeight="1">
      <c r="A70" s="3">
        <f t="shared" si="1"/>
        <v>68</v>
      </c>
      <c r="B70" s="8"/>
      <c r="C70" s="8"/>
      <c r="D70" s="8"/>
      <c r="E70" s="8"/>
      <c r="F70" s="8"/>
      <c r="G70" s="18" t="s">
        <v>132</v>
      </c>
      <c r="H70" s="18" t="s">
        <v>133</v>
      </c>
      <c r="I70" s="6" t="s">
        <v>19</v>
      </c>
      <c r="J70" s="18" t="s">
        <v>134</v>
      </c>
      <c r="K70" s="21"/>
      <c r="L70" s="3" t="s">
        <v>89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7.5" customHeight="1">
      <c r="A71" s="3">
        <f t="shared" si="1"/>
        <v>69</v>
      </c>
      <c r="B71" s="8"/>
      <c r="C71" s="8"/>
      <c r="D71" s="8"/>
      <c r="E71" s="10"/>
      <c r="F71" s="8"/>
      <c r="G71" s="18" t="s">
        <v>179</v>
      </c>
      <c r="H71" s="18" t="s">
        <v>180</v>
      </c>
      <c r="I71" s="6" t="s">
        <v>19</v>
      </c>
      <c r="J71" s="18" t="s">
        <v>181</v>
      </c>
      <c r="K71" s="21"/>
      <c r="L71" s="3" t="s">
        <v>89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7.5" customHeight="1">
      <c r="A72" s="3">
        <f t="shared" si="1"/>
        <v>70</v>
      </c>
      <c r="B72" s="8"/>
      <c r="C72" s="8"/>
      <c r="D72" s="8"/>
      <c r="E72" s="17" t="s">
        <v>182</v>
      </c>
      <c r="F72" s="8"/>
      <c r="G72" s="18" t="s">
        <v>183</v>
      </c>
      <c r="H72" s="18" t="s">
        <v>156</v>
      </c>
      <c r="I72" s="6" t="s">
        <v>19</v>
      </c>
      <c r="J72" s="18" t="s">
        <v>157</v>
      </c>
      <c r="K72" s="21"/>
      <c r="L72" s="3" t="s">
        <v>89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7.5" customHeight="1">
      <c r="A73" s="3">
        <f t="shared" si="1"/>
        <v>71</v>
      </c>
      <c r="B73" s="8"/>
      <c r="C73" s="8"/>
      <c r="D73" s="8"/>
      <c r="E73" s="8"/>
      <c r="F73" s="8"/>
      <c r="G73" s="18" t="s">
        <v>126</v>
      </c>
      <c r="H73" s="18" t="s">
        <v>149</v>
      </c>
      <c r="I73" s="6" t="s">
        <v>19</v>
      </c>
      <c r="J73" s="18" t="s">
        <v>150</v>
      </c>
      <c r="K73" s="21"/>
      <c r="L73" s="3" t="s">
        <v>89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7.5" customHeight="1">
      <c r="A74" s="3">
        <f t="shared" si="1"/>
        <v>72</v>
      </c>
      <c r="B74" s="8"/>
      <c r="C74" s="8"/>
      <c r="D74" s="8"/>
      <c r="E74" s="8"/>
      <c r="F74" s="8"/>
      <c r="G74" s="18" t="s">
        <v>129</v>
      </c>
      <c r="H74" s="18" t="s">
        <v>130</v>
      </c>
      <c r="I74" s="6" t="s">
        <v>19</v>
      </c>
      <c r="J74" s="18" t="s">
        <v>131</v>
      </c>
      <c r="K74" s="21"/>
      <c r="L74" s="3" t="s">
        <v>89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7.5" customHeight="1">
      <c r="A75" s="3">
        <f t="shared" si="1"/>
        <v>73</v>
      </c>
      <c r="B75" s="8"/>
      <c r="C75" s="8"/>
      <c r="D75" s="8"/>
      <c r="E75" s="8"/>
      <c r="F75" s="8"/>
      <c r="G75" s="18" t="s">
        <v>132</v>
      </c>
      <c r="H75" s="18" t="s">
        <v>133</v>
      </c>
      <c r="I75" s="6" t="s">
        <v>19</v>
      </c>
      <c r="J75" s="18" t="s">
        <v>134</v>
      </c>
      <c r="K75" s="21"/>
      <c r="L75" s="3" t="s">
        <v>89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7.5" customHeight="1">
      <c r="A76" s="3">
        <f t="shared" si="1"/>
        <v>74</v>
      </c>
      <c r="B76" s="8"/>
      <c r="C76" s="8"/>
      <c r="D76" s="8"/>
      <c r="E76" s="10"/>
      <c r="F76" s="8"/>
      <c r="G76" s="18" t="s">
        <v>184</v>
      </c>
      <c r="H76" s="18" t="s">
        <v>185</v>
      </c>
      <c r="I76" s="6" t="s">
        <v>19</v>
      </c>
      <c r="J76" s="18" t="s">
        <v>186</v>
      </c>
      <c r="K76" s="21"/>
      <c r="L76" s="3" t="s">
        <v>89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7.5" customHeight="1">
      <c r="A77" s="3">
        <f t="shared" si="1"/>
        <v>75</v>
      </c>
      <c r="B77" s="8"/>
      <c r="C77" s="8"/>
      <c r="D77" s="8"/>
      <c r="E77" s="17" t="s">
        <v>187</v>
      </c>
      <c r="F77" s="8"/>
      <c r="G77" s="18" t="s">
        <v>188</v>
      </c>
      <c r="H77" s="18" t="s">
        <v>189</v>
      </c>
      <c r="I77" s="6" t="s">
        <v>19</v>
      </c>
      <c r="J77" s="18" t="s">
        <v>190</v>
      </c>
      <c r="K77" s="21"/>
      <c r="L77" s="3" t="s">
        <v>89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7.5" customHeight="1">
      <c r="A78" s="3">
        <f t="shared" si="1"/>
        <v>76</v>
      </c>
      <c r="B78" s="8"/>
      <c r="C78" s="8"/>
      <c r="D78" s="8"/>
      <c r="E78" s="8"/>
      <c r="F78" s="8"/>
      <c r="G78" s="18" t="s">
        <v>126</v>
      </c>
      <c r="H78" s="18" t="s">
        <v>149</v>
      </c>
      <c r="I78" s="6" t="s">
        <v>19</v>
      </c>
      <c r="J78" s="18" t="s">
        <v>150</v>
      </c>
      <c r="K78" s="21"/>
      <c r="L78" s="3" t="s">
        <v>89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7.5" customHeight="1">
      <c r="A79" s="3">
        <f t="shared" si="1"/>
        <v>77</v>
      </c>
      <c r="B79" s="8"/>
      <c r="C79" s="8"/>
      <c r="D79" s="8"/>
      <c r="E79" s="8"/>
      <c r="F79" s="8"/>
      <c r="G79" s="18" t="s">
        <v>129</v>
      </c>
      <c r="H79" s="18" t="s">
        <v>130</v>
      </c>
      <c r="I79" s="6" t="s">
        <v>19</v>
      </c>
      <c r="J79" s="18" t="s">
        <v>131</v>
      </c>
      <c r="K79" s="21"/>
      <c r="L79" s="3" t="s">
        <v>89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7.5" customHeight="1">
      <c r="A80" s="3">
        <f t="shared" si="1"/>
        <v>78</v>
      </c>
      <c r="B80" s="8"/>
      <c r="C80" s="8"/>
      <c r="D80" s="8"/>
      <c r="E80" s="8"/>
      <c r="F80" s="8"/>
      <c r="G80" s="18" t="s">
        <v>132</v>
      </c>
      <c r="H80" s="18" t="s">
        <v>133</v>
      </c>
      <c r="I80" s="6" t="s">
        <v>19</v>
      </c>
      <c r="J80" s="18" t="s">
        <v>134</v>
      </c>
      <c r="K80" s="21"/>
      <c r="L80" s="3" t="s">
        <v>89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7.5" customHeight="1">
      <c r="A81" s="3">
        <f t="shared" si="1"/>
        <v>79</v>
      </c>
      <c r="B81" s="8"/>
      <c r="C81" s="8"/>
      <c r="D81" s="8"/>
      <c r="E81" s="10"/>
      <c r="F81" s="8"/>
      <c r="G81" s="18" t="s">
        <v>191</v>
      </c>
      <c r="H81" s="18" t="s">
        <v>192</v>
      </c>
      <c r="I81" s="6" t="s">
        <v>19</v>
      </c>
      <c r="J81" s="18" t="s">
        <v>193</v>
      </c>
      <c r="K81" s="21"/>
      <c r="L81" s="3" t="s">
        <v>89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7.5" customHeight="1">
      <c r="A82" s="3">
        <f t="shared" si="1"/>
        <v>80</v>
      </c>
      <c r="B82" s="8"/>
      <c r="C82" s="8"/>
      <c r="D82" s="8"/>
      <c r="E82" s="17" t="s">
        <v>194</v>
      </c>
      <c r="F82" s="8"/>
      <c r="G82" s="18" t="s">
        <v>195</v>
      </c>
      <c r="H82" s="18" t="s">
        <v>196</v>
      </c>
      <c r="I82" s="6" t="s">
        <v>19</v>
      </c>
      <c r="J82" s="25" t="s">
        <v>197</v>
      </c>
      <c r="K82" s="21"/>
      <c r="L82" s="3" t="s">
        <v>89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7.5" customHeight="1">
      <c r="A83" s="3">
        <f t="shared" si="1"/>
        <v>81</v>
      </c>
      <c r="B83" s="8"/>
      <c r="C83" s="8"/>
      <c r="D83" s="8"/>
      <c r="E83" s="8"/>
      <c r="F83" s="8"/>
      <c r="G83" s="18" t="s">
        <v>126</v>
      </c>
      <c r="H83" s="18" t="s">
        <v>149</v>
      </c>
      <c r="I83" s="6" t="s">
        <v>19</v>
      </c>
      <c r="J83" s="9" t="s">
        <v>198</v>
      </c>
      <c r="K83" s="21"/>
      <c r="L83" s="3" t="s">
        <v>89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7.5" customHeight="1">
      <c r="A84" s="3">
        <f t="shared" si="1"/>
        <v>82</v>
      </c>
      <c r="B84" s="8"/>
      <c r="C84" s="8"/>
      <c r="D84" s="8"/>
      <c r="E84" s="8"/>
      <c r="F84" s="8"/>
      <c r="G84" s="18" t="s">
        <v>129</v>
      </c>
      <c r="H84" s="18" t="s">
        <v>130</v>
      </c>
      <c r="I84" s="6" t="s">
        <v>19</v>
      </c>
      <c r="J84" s="18" t="s">
        <v>131</v>
      </c>
      <c r="K84" s="21"/>
      <c r="L84" s="3" t="s">
        <v>89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7.5" customHeight="1">
      <c r="A85" s="3">
        <f t="shared" si="1"/>
        <v>83</v>
      </c>
      <c r="B85" s="8"/>
      <c r="C85" s="8"/>
      <c r="D85" s="8"/>
      <c r="E85" s="8"/>
      <c r="F85" s="8"/>
      <c r="G85" s="18" t="s">
        <v>132</v>
      </c>
      <c r="H85" s="18" t="s">
        <v>133</v>
      </c>
      <c r="I85" s="6" t="s">
        <v>19</v>
      </c>
      <c r="J85" s="18" t="s">
        <v>134</v>
      </c>
      <c r="K85" s="21"/>
      <c r="L85" s="3" t="s">
        <v>89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7.5" customHeight="1">
      <c r="A86" s="3">
        <f t="shared" si="1"/>
        <v>84</v>
      </c>
      <c r="B86" s="8"/>
      <c r="C86" s="8"/>
      <c r="D86" s="8"/>
      <c r="E86" s="10"/>
      <c r="F86" s="8"/>
      <c r="G86" s="18" t="s">
        <v>199</v>
      </c>
      <c r="H86" s="19" t="s">
        <v>200</v>
      </c>
      <c r="I86" s="6" t="s">
        <v>19</v>
      </c>
      <c r="J86" s="9" t="s">
        <v>201</v>
      </c>
      <c r="K86" s="21"/>
      <c r="L86" s="3" t="s">
        <v>89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7.5" customHeight="1">
      <c r="A87" s="3">
        <f t="shared" si="1"/>
        <v>85</v>
      </c>
      <c r="B87" s="8"/>
      <c r="C87" s="8"/>
      <c r="D87" s="8"/>
      <c r="E87" s="17" t="s">
        <v>202</v>
      </c>
      <c r="F87" s="8"/>
      <c r="G87" s="18" t="s">
        <v>203</v>
      </c>
      <c r="H87" s="9" t="s">
        <v>196</v>
      </c>
      <c r="I87" s="6" t="s">
        <v>19</v>
      </c>
      <c r="J87" s="9" t="s">
        <v>204</v>
      </c>
      <c r="K87" s="21"/>
      <c r="L87" s="3" t="s">
        <v>89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7.5" customHeight="1">
      <c r="A88" s="3">
        <f t="shared" si="1"/>
        <v>86</v>
      </c>
      <c r="B88" s="8"/>
      <c r="C88" s="8"/>
      <c r="D88" s="8"/>
      <c r="E88" s="8"/>
      <c r="F88" s="8"/>
      <c r="G88" s="18" t="s">
        <v>126</v>
      </c>
      <c r="H88" s="18" t="s">
        <v>149</v>
      </c>
      <c r="I88" s="6" t="s">
        <v>19</v>
      </c>
      <c r="J88" s="18" t="s">
        <v>150</v>
      </c>
      <c r="K88" s="21"/>
      <c r="L88" s="3" t="s">
        <v>89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7.5" customHeight="1">
      <c r="A89" s="3">
        <f t="shared" si="1"/>
        <v>87</v>
      </c>
      <c r="B89" s="8"/>
      <c r="C89" s="8"/>
      <c r="D89" s="8"/>
      <c r="E89" s="8"/>
      <c r="F89" s="8"/>
      <c r="G89" s="18" t="s">
        <v>129</v>
      </c>
      <c r="H89" s="18" t="s">
        <v>130</v>
      </c>
      <c r="I89" s="6" t="s">
        <v>19</v>
      </c>
      <c r="J89" s="18" t="s">
        <v>131</v>
      </c>
      <c r="K89" s="21"/>
      <c r="L89" s="3" t="s">
        <v>89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7.5" customHeight="1">
      <c r="A90" s="3">
        <f t="shared" si="1"/>
        <v>88</v>
      </c>
      <c r="B90" s="8"/>
      <c r="C90" s="8"/>
      <c r="D90" s="8"/>
      <c r="E90" s="8"/>
      <c r="F90" s="8"/>
      <c r="G90" s="18" t="s">
        <v>132</v>
      </c>
      <c r="H90" s="18" t="s">
        <v>133</v>
      </c>
      <c r="I90" s="6" t="s">
        <v>19</v>
      </c>
      <c r="J90" s="18" t="s">
        <v>134</v>
      </c>
      <c r="K90" s="21"/>
      <c r="L90" s="3" t="s">
        <v>89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7.5" customHeight="1">
      <c r="A91" s="3">
        <f t="shared" si="1"/>
        <v>89</v>
      </c>
      <c r="B91" s="8"/>
      <c r="C91" s="8"/>
      <c r="D91" s="8"/>
      <c r="E91" s="10"/>
      <c r="F91" s="8"/>
      <c r="G91" s="18" t="s">
        <v>205</v>
      </c>
      <c r="H91" s="9" t="s">
        <v>206</v>
      </c>
      <c r="I91" s="6" t="s">
        <v>19</v>
      </c>
      <c r="J91" s="9" t="s">
        <v>207</v>
      </c>
      <c r="K91" s="21"/>
      <c r="L91" s="3" t="s">
        <v>89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7.5" customHeight="1">
      <c r="A92" s="3">
        <f t="shared" si="1"/>
        <v>90</v>
      </c>
      <c r="B92" s="8"/>
      <c r="C92" s="8"/>
      <c r="D92" s="8"/>
      <c r="E92" s="17" t="s">
        <v>208</v>
      </c>
      <c r="F92" s="8"/>
      <c r="G92" s="18" t="s">
        <v>209</v>
      </c>
      <c r="H92" s="9" t="s">
        <v>189</v>
      </c>
      <c r="I92" s="6" t="s">
        <v>19</v>
      </c>
      <c r="J92" s="9" t="s">
        <v>210</v>
      </c>
      <c r="K92" s="21"/>
      <c r="L92" s="3" t="s">
        <v>89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7.5" customHeight="1">
      <c r="A93" s="3">
        <f t="shared" si="1"/>
        <v>91</v>
      </c>
      <c r="B93" s="8"/>
      <c r="C93" s="8"/>
      <c r="D93" s="8"/>
      <c r="E93" s="8"/>
      <c r="F93" s="8"/>
      <c r="G93" s="18" t="s">
        <v>126</v>
      </c>
      <c r="H93" s="18" t="s">
        <v>149</v>
      </c>
      <c r="I93" s="6" t="s">
        <v>19</v>
      </c>
      <c r="J93" s="18" t="s">
        <v>150</v>
      </c>
      <c r="K93" s="21"/>
      <c r="L93" s="3" t="s">
        <v>89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7.5" customHeight="1">
      <c r="A94" s="3">
        <f t="shared" si="1"/>
        <v>92</v>
      </c>
      <c r="B94" s="8"/>
      <c r="C94" s="8"/>
      <c r="D94" s="8"/>
      <c r="E94" s="8"/>
      <c r="F94" s="8"/>
      <c r="G94" s="18" t="s">
        <v>129</v>
      </c>
      <c r="H94" s="18" t="s">
        <v>130</v>
      </c>
      <c r="I94" s="6" t="s">
        <v>19</v>
      </c>
      <c r="J94" s="18" t="s">
        <v>131</v>
      </c>
      <c r="K94" s="21"/>
      <c r="L94" s="3" t="s">
        <v>89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7.5" customHeight="1">
      <c r="A95" s="3">
        <f t="shared" si="1"/>
        <v>93</v>
      </c>
      <c r="B95" s="8"/>
      <c r="C95" s="8"/>
      <c r="D95" s="8"/>
      <c r="E95" s="8"/>
      <c r="F95" s="8"/>
      <c r="G95" s="18" t="s">
        <v>132</v>
      </c>
      <c r="H95" s="18" t="s">
        <v>133</v>
      </c>
      <c r="I95" s="6" t="s">
        <v>19</v>
      </c>
      <c r="J95" s="18" t="s">
        <v>134</v>
      </c>
      <c r="K95" s="21"/>
      <c r="L95" s="3" t="s">
        <v>89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7.5" customHeight="1">
      <c r="A96" s="3">
        <f t="shared" si="1"/>
        <v>94</v>
      </c>
      <c r="B96" s="8"/>
      <c r="C96" s="8"/>
      <c r="D96" s="8"/>
      <c r="E96" s="10"/>
      <c r="F96" s="8"/>
      <c r="G96" s="18" t="s">
        <v>211</v>
      </c>
      <c r="H96" s="9" t="s">
        <v>212</v>
      </c>
      <c r="I96" s="6" t="s">
        <v>19</v>
      </c>
      <c r="J96" s="25" t="s">
        <v>193</v>
      </c>
      <c r="K96" s="21"/>
      <c r="L96" s="3" t="s">
        <v>89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7.5" customHeight="1">
      <c r="A97" s="3">
        <f t="shared" si="1"/>
        <v>95</v>
      </c>
      <c r="B97" s="8"/>
      <c r="C97" s="8"/>
      <c r="D97" s="8"/>
      <c r="E97" s="17" t="s">
        <v>213</v>
      </c>
      <c r="F97" s="8"/>
      <c r="G97" s="18" t="s">
        <v>214</v>
      </c>
      <c r="H97" s="25" t="s">
        <v>215</v>
      </c>
      <c r="I97" s="6" t="s">
        <v>19</v>
      </c>
      <c r="J97" s="25" t="s">
        <v>197</v>
      </c>
      <c r="K97" s="21"/>
      <c r="L97" s="3" t="s">
        <v>89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7.5" customHeight="1">
      <c r="A98" s="3">
        <f t="shared" si="1"/>
        <v>96</v>
      </c>
      <c r="B98" s="8"/>
      <c r="C98" s="8"/>
      <c r="D98" s="8"/>
      <c r="E98" s="8"/>
      <c r="F98" s="8"/>
      <c r="G98" s="18" t="s">
        <v>126</v>
      </c>
      <c r="H98" s="18" t="s">
        <v>149</v>
      </c>
      <c r="I98" s="6" t="s">
        <v>19</v>
      </c>
      <c r="J98" s="18" t="s">
        <v>150</v>
      </c>
      <c r="K98" s="21"/>
      <c r="L98" s="3" t="s">
        <v>89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7.5" customHeight="1">
      <c r="A99" s="3">
        <f t="shared" si="1"/>
        <v>97</v>
      </c>
      <c r="B99" s="8"/>
      <c r="C99" s="8"/>
      <c r="D99" s="8"/>
      <c r="E99" s="8"/>
      <c r="F99" s="8"/>
      <c r="G99" s="18" t="s">
        <v>129</v>
      </c>
      <c r="H99" s="18" t="s">
        <v>130</v>
      </c>
      <c r="I99" s="6" t="s">
        <v>19</v>
      </c>
      <c r="J99" s="18" t="s">
        <v>131</v>
      </c>
      <c r="K99" s="21"/>
      <c r="L99" s="3" t="s">
        <v>89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7.5" customHeight="1">
      <c r="A100" s="3">
        <f t="shared" si="1"/>
        <v>98</v>
      </c>
      <c r="B100" s="8"/>
      <c r="C100" s="8"/>
      <c r="D100" s="8"/>
      <c r="E100" s="8"/>
      <c r="F100" s="8"/>
      <c r="G100" s="18" t="s">
        <v>132</v>
      </c>
      <c r="H100" s="18" t="s">
        <v>133</v>
      </c>
      <c r="I100" s="6" t="s">
        <v>19</v>
      </c>
      <c r="J100" s="18" t="s">
        <v>134</v>
      </c>
      <c r="K100" s="21"/>
      <c r="L100" s="3" t="s">
        <v>89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7.5" customHeight="1">
      <c r="A101" s="3">
        <f t="shared" si="1"/>
        <v>99</v>
      </c>
      <c r="B101" s="8"/>
      <c r="C101" s="8"/>
      <c r="D101" s="8"/>
      <c r="E101" s="10"/>
      <c r="F101" s="8"/>
      <c r="G101" s="18" t="s">
        <v>216</v>
      </c>
      <c r="H101" s="18" t="s">
        <v>217</v>
      </c>
      <c r="I101" s="6" t="s">
        <v>19</v>
      </c>
      <c r="J101" s="18" t="s">
        <v>218</v>
      </c>
      <c r="K101" s="18"/>
      <c r="L101" s="3" t="s">
        <v>89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7.5" customHeight="1">
      <c r="A102" s="3">
        <f t="shared" si="1"/>
        <v>100</v>
      </c>
      <c r="B102" s="8"/>
      <c r="C102" s="8"/>
      <c r="D102" s="8"/>
      <c r="E102" s="17" t="s">
        <v>219</v>
      </c>
      <c r="F102" s="8"/>
      <c r="G102" s="18" t="s">
        <v>220</v>
      </c>
      <c r="H102" s="25" t="s">
        <v>215</v>
      </c>
      <c r="I102" s="6" t="s">
        <v>19</v>
      </c>
      <c r="J102" s="18" t="s">
        <v>197</v>
      </c>
      <c r="K102" s="18"/>
      <c r="L102" s="3" t="s">
        <v>89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7.5" customHeight="1">
      <c r="A103" s="3">
        <f t="shared" si="1"/>
        <v>101</v>
      </c>
      <c r="B103" s="8"/>
      <c r="C103" s="8"/>
      <c r="D103" s="8"/>
      <c r="E103" s="8"/>
      <c r="F103" s="8"/>
      <c r="G103" s="18" t="s">
        <v>126</v>
      </c>
      <c r="H103" s="18" t="s">
        <v>149</v>
      </c>
      <c r="I103" s="6" t="s">
        <v>19</v>
      </c>
      <c r="J103" s="18" t="s">
        <v>150</v>
      </c>
      <c r="K103" s="18"/>
      <c r="L103" s="3" t="s">
        <v>89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7.5" customHeight="1">
      <c r="A104" s="3">
        <f t="shared" si="1"/>
        <v>102</v>
      </c>
      <c r="B104" s="8"/>
      <c r="C104" s="8"/>
      <c r="D104" s="8"/>
      <c r="E104" s="8"/>
      <c r="F104" s="8"/>
      <c r="G104" s="18" t="s">
        <v>129</v>
      </c>
      <c r="H104" s="18" t="s">
        <v>130</v>
      </c>
      <c r="I104" s="6" t="s">
        <v>19</v>
      </c>
      <c r="J104" s="18" t="s">
        <v>131</v>
      </c>
      <c r="K104" s="21"/>
      <c r="L104" s="3" t="s">
        <v>89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7.5" customHeight="1">
      <c r="A105" s="3">
        <f t="shared" si="1"/>
        <v>103</v>
      </c>
      <c r="B105" s="8"/>
      <c r="C105" s="8"/>
      <c r="D105" s="8"/>
      <c r="E105" s="8"/>
      <c r="F105" s="8"/>
      <c r="G105" s="18" t="s">
        <v>132</v>
      </c>
      <c r="H105" s="18" t="s">
        <v>133</v>
      </c>
      <c r="I105" s="6" t="s">
        <v>19</v>
      </c>
      <c r="J105" s="18" t="s">
        <v>134</v>
      </c>
      <c r="K105" s="21"/>
      <c r="L105" s="3" t="s">
        <v>89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7.5" customHeight="1">
      <c r="A106" s="3">
        <f t="shared" si="1"/>
        <v>104</v>
      </c>
      <c r="B106" s="8"/>
      <c r="C106" s="8"/>
      <c r="D106" s="8"/>
      <c r="E106" s="10"/>
      <c r="F106" s="8"/>
      <c r="G106" s="18" t="s">
        <v>221</v>
      </c>
      <c r="H106" s="18" t="s">
        <v>222</v>
      </c>
      <c r="I106" s="6" t="s">
        <v>19</v>
      </c>
      <c r="J106" s="18" t="s">
        <v>223</v>
      </c>
      <c r="K106" s="21"/>
      <c r="L106" s="3" t="s">
        <v>89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7.5" customHeight="1">
      <c r="A107" s="3">
        <f t="shared" si="1"/>
        <v>105</v>
      </c>
      <c r="B107" s="8"/>
      <c r="C107" s="8"/>
      <c r="D107" s="8"/>
      <c r="E107" s="17" t="s">
        <v>224</v>
      </c>
      <c r="F107" s="8"/>
      <c r="G107" s="18" t="s">
        <v>225</v>
      </c>
      <c r="H107" s="25" t="s">
        <v>215</v>
      </c>
      <c r="I107" s="6" t="s">
        <v>19</v>
      </c>
      <c r="J107" s="18" t="s">
        <v>197</v>
      </c>
      <c r="K107" s="21"/>
      <c r="L107" s="3" t="s">
        <v>89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7.5" customHeight="1">
      <c r="A108" s="3">
        <f t="shared" si="1"/>
        <v>106</v>
      </c>
      <c r="B108" s="8"/>
      <c r="C108" s="8"/>
      <c r="D108" s="8"/>
      <c r="E108" s="8"/>
      <c r="F108" s="8"/>
      <c r="G108" s="18" t="s">
        <v>126</v>
      </c>
      <c r="H108" s="18" t="s">
        <v>149</v>
      </c>
      <c r="I108" s="6" t="s">
        <v>19</v>
      </c>
      <c r="J108" s="18" t="s">
        <v>150</v>
      </c>
      <c r="K108" s="21"/>
      <c r="L108" s="3" t="s">
        <v>89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7.5" customHeight="1">
      <c r="A109" s="3">
        <f t="shared" si="1"/>
        <v>107</v>
      </c>
      <c r="B109" s="8"/>
      <c r="C109" s="8"/>
      <c r="D109" s="8"/>
      <c r="E109" s="8"/>
      <c r="F109" s="8"/>
      <c r="G109" s="18" t="s">
        <v>129</v>
      </c>
      <c r="H109" s="18" t="s">
        <v>130</v>
      </c>
      <c r="I109" s="6" t="s">
        <v>19</v>
      </c>
      <c r="J109" s="18" t="s">
        <v>131</v>
      </c>
      <c r="K109" s="21"/>
      <c r="L109" s="3" t="s">
        <v>89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7.5" customHeight="1">
      <c r="A110" s="3">
        <f t="shared" si="1"/>
        <v>108</v>
      </c>
      <c r="B110" s="8"/>
      <c r="C110" s="8"/>
      <c r="D110" s="8"/>
      <c r="E110" s="8"/>
      <c r="F110" s="8"/>
      <c r="G110" s="18" t="s">
        <v>132</v>
      </c>
      <c r="H110" s="18" t="s">
        <v>133</v>
      </c>
      <c r="I110" s="6" t="s">
        <v>19</v>
      </c>
      <c r="J110" s="18" t="s">
        <v>134</v>
      </c>
      <c r="K110" s="21"/>
      <c r="L110" s="3" t="s">
        <v>89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7.5" customHeight="1">
      <c r="A111" s="3">
        <f t="shared" si="1"/>
        <v>109</v>
      </c>
      <c r="B111" s="8"/>
      <c r="C111" s="8"/>
      <c r="D111" s="8"/>
      <c r="E111" s="10"/>
      <c r="F111" s="8"/>
      <c r="G111" s="18" t="s">
        <v>226</v>
      </c>
      <c r="H111" s="18" t="s">
        <v>227</v>
      </c>
      <c r="I111" s="6" t="s">
        <v>19</v>
      </c>
      <c r="J111" s="18" t="s">
        <v>193</v>
      </c>
      <c r="K111" s="21"/>
      <c r="L111" s="3" t="s">
        <v>89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7.5" customHeight="1">
      <c r="A112" s="3">
        <f t="shared" si="1"/>
        <v>110</v>
      </c>
      <c r="B112" s="8"/>
      <c r="C112" s="8"/>
      <c r="D112" s="8"/>
      <c r="E112" s="17" t="s">
        <v>228</v>
      </c>
      <c r="F112" s="8"/>
      <c r="G112" s="18" t="s">
        <v>229</v>
      </c>
      <c r="H112" s="18" t="s">
        <v>230</v>
      </c>
      <c r="I112" s="6" t="s">
        <v>19</v>
      </c>
      <c r="J112" s="18" t="s">
        <v>231</v>
      </c>
      <c r="K112" s="21"/>
      <c r="L112" s="3" t="s">
        <v>89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7.5" customHeight="1">
      <c r="A113" s="3">
        <f t="shared" si="1"/>
        <v>111</v>
      </c>
      <c r="B113" s="8"/>
      <c r="C113" s="8"/>
      <c r="D113" s="8"/>
      <c r="E113" s="8"/>
      <c r="F113" s="8"/>
      <c r="G113" s="18" t="s">
        <v>126</v>
      </c>
      <c r="H113" s="18" t="s">
        <v>149</v>
      </c>
      <c r="I113" s="6" t="s">
        <v>19</v>
      </c>
      <c r="J113" s="18" t="s">
        <v>150</v>
      </c>
      <c r="K113" s="21"/>
      <c r="L113" s="3" t="s">
        <v>89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7.5" customHeight="1">
      <c r="A114" s="3">
        <f t="shared" si="1"/>
        <v>112</v>
      </c>
      <c r="B114" s="8"/>
      <c r="C114" s="8"/>
      <c r="D114" s="8"/>
      <c r="E114" s="8"/>
      <c r="F114" s="8"/>
      <c r="G114" s="18" t="s">
        <v>129</v>
      </c>
      <c r="H114" s="18" t="s">
        <v>130</v>
      </c>
      <c r="I114" s="6" t="s">
        <v>19</v>
      </c>
      <c r="J114" s="18" t="s">
        <v>131</v>
      </c>
      <c r="K114" s="21"/>
      <c r="L114" s="3" t="s">
        <v>89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7.5" customHeight="1">
      <c r="A115" s="3">
        <f t="shared" si="1"/>
        <v>113</v>
      </c>
      <c r="B115" s="8"/>
      <c r="C115" s="8"/>
      <c r="D115" s="8"/>
      <c r="E115" s="8"/>
      <c r="F115" s="8"/>
      <c r="G115" s="18" t="s">
        <v>132</v>
      </c>
      <c r="H115" s="18" t="s">
        <v>133</v>
      </c>
      <c r="I115" s="6" t="s">
        <v>19</v>
      </c>
      <c r="J115" s="18" t="s">
        <v>134</v>
      </c>
      <c r="K115" s="21"/>
      <c r="L115" s="3" t="s">
        <v>89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7.5" customHeight="1">
      <c r="A116" s="3">
        <f t="shared" si="1"/>
        <v>114</v>
      </c>
      <c r="B116" s="8"/>
      <c r="C116" s="8"/>
      <c r="D116" s="8"/>
      <c r="E116" s="10"/>
      <c r="F116" s="8"/>
      <c r="G116" s="19" t="s">
        <v>232</v>
      </c>
      <c r="H116" s="18" t="s">
        <v>233</v>
      </c>
      <c r="I116" s="6" t="s">
        <v>19</v>
      </c>
      <c r="J116" s="18" t="s">
        <v>231</v>
      </c>
      <c r="K116" s="21"/>
      <c r="L116" s="3" t="s">
        <v>89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7.5" customHeight="1">
      <c r="A117" s="3">
        <f t="shared" si="1"/>
        <v>115</v>
      </c>
      <c r="B117" s="8"/>
      <c r="C117" s="8"/>
      <c r="D117" s="8"/>
      <c r="E117" s="17" t="s">
        <v>234</v>
      </c>
      <c r="F117" s="8"/>
      <c r="G117" s="19" t="s">
        <v>235</v>
      </c>
      <c r="H117" s="18" t="s">
        <v>236</v>
      </c>
      <c r="I117" s="6" t="s">
        <v>19</v>
      </c>
      <c r="J117" s="18" t="s">
        <v>237</v>
      </c>
      <c r="K117" s="21"/>
      <c r="L117" s="3" t="s">
        <v>89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7.5" customHeight="1">
      <c r="A118" s="3">
        <f t="shared" si="1"/>
        <v>116</v>
      </c>
      <c r="B118" s="8"/>
      <c r="C118" s="8"/>
      <c r="D118" s="8"/>
      <c r="E118" s="8"/>
      <c r="F118" s="8"/>
      <c r="G118" s="18" t="s">
        <v>126</v>
      </c>
      <c r="H118" s="18" t="s">
        <v>149</v>
      </c>
      <c r="I118" s="6" t="s">
        <v>19</v>
      </c>
      <c r="J118" s="18" t="s">
        <v>150</v>
      </c>
      <c r="K118" s="21"/>
      <c r="L118" s="3" t="s">
        <v>89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7.5" customHeight="1">
      <c r="A119" s="3">
        <f t="shared" si="1"/>
        <v>117</v>
      </c>
      <c r="B119" s="8"/>
      <c r="C119" s="8"/>
      <c r="D119" s="8"/>
      <c r="E119" s="8"/>
      <c r="F119" s="8"/>
      <c r="G119" s="18" t="s">
        <v>129</v>
      </c>
      <c r="H119" s="18" t="s">
        <v>130</v>
      </c>
      <c r="I119" s="6" t="s">
        <v>19</v>
      </c>
      <c r="J119" s="18" t="s">
        <v>131</v>
      </c>
      <c r="K119" s="21"/>
      <c r="L119" s="3" t="s">
        <v>89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7.5" customHeight="1">
      <c r="A120" s="3">
        <f t="shared" si="1"/>
        <v>118</v>
      </c>
      <c r="B120" s="8"/>
      <c r="C120" s="8"/>
      <c r="D120" s="8"/>
      <c r="E120" s="8"/>
      <c r="F120" s="8"/>
      <c r="G120" s="18" t="s">
        <v>132</v>
      </c>
      <c r="H120" s="18" t="s">
        <v>133</v>
      </c>
      <c r="I120" s="6" t="s">
        <v>19</v>
      </c>
      <c r="J120" s="18" t="s">
        <v>134</v>
      </c>
      <c r="K120" s="21"/>
      <c r="L120" s="3" t="s">
        <v>89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7.5" customHeight="1">
      <c r="A121" s="3">
        <f t="shared" si="1"/>
        <v>119</v>
      </c>
      <c r="B121" s="8"/>
      <c r="C121" s="8"/>
      <c r="D121" s="8"/>
      <c r="E121" s="10"/>
      <c r="F121" s="8"/>
      <c r="G121" s="19" t="s">
        <v>238</v>
      </c>
      <c r="H121" s="18" t="s">
        <v>239</v>
      </c>
      <c r="I121" s="6" t="s">
        <v>19</v>
      </c>
      <c r="J121" s="18" t="s">
        <v>237</v>
      </c>
      <c r="K121" s="21"/>
      <c r="L121" s="3" t="s">
        <v>89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7.5" customHeight="1">
      <c r="A122" s="3">
        <f t="shared" si="1"/>
        <v>120</v>
      </c>
      <c r="B122" s="8"/>
      <c r="C122" s="8"/>
      <c r="D122" s="8"/>
      <c r="E122" s="17" t="s">
        <v>240</v>
      </c>
      <c r="F122" s="8"/>
      <c r="G122" s="18" t="s">
        <v>241</v>
      </c>
      <c r="H122" s="25" t="s">
        <v>215</v>
      </c>
      <c r="I122" s="6" t="s">
        <v>19</v>
      </c>
      <c r="J122" s="21" t="s">
        <v>197</v>
      </c>
      <c r="K122" s="21"/>
      <c r="L122" s="3" t="s">
        <v>89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7.5" customHeight="1">
      <c r="A123" s="3">
        <f t="shared" si="1"/>
        <v>121</v>
      </c>
      <c r="B123" s="8"/>
      <c r="C123" s="8"/>
      <c r="D123" s="8"/>
      <c r="E123" s="8"/>
      <c r="F123" s="8"/>
      <c r="G123" s="18" t="s">
        <v>126</v>
      </c>
      <c r="H123" s="18" t="s">
        <v>149</v>
      </c>
      <c r="I123" s="6" t="s">
        <v>19</v>
      </c>
      <c r="J123" s="18" t="s">
        <v>150</v>
      </c>
      <c r="K123" s="21"/>
      <c r="L123" s="3" t="s">
        <v>89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7.5" customHeight="1">
      <c r="A124" s="3">
        <f t="shared" si="1"/>
        <v>122</v>
      </c>
      <c r="B124" s="8"/>
      <c r="C124" s="8"/>
      <c r="D124" s="8"/>
      <c r="E124" s="8"/>
      <c r="F124" s="8"/>
      <c r="G124" s="18" t="s">
        <v>129</v>
      </c>
      <c r="H124" s="18" t="s">
        <v>130</v>
      </c>
      <c r="I124" s="6" t="s">
        <v>19</v>
      </c>
      <c r="J124" s="18" t="s">
        <v>131</v>
      </c>
      <c r="K124" s="21"/>
      <c r="L124" s="3" t="s">
        <v>89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7.5" customHeight="1">
      <c r="A125" s="3">
        <f t="shared" si="1"/>
        <v>123</v>
      </c>
      <c r="B125" s="8"/>
      <c r="C125" s="8"/>
      <c r="D125" s="8"/>
      <c r="E125" s="8"/>
      <c r="F125" s="8"/>
      <c r="G125" s="18" t="s">
        <v>132</v>
      </c>
      <c r="H125" s="18" t="s">
        <v>133</v>
      </c>
      <c r="I125" s="6" t="s">
        <v>19</v>
      </c>
      <c r="J125" s="18" t="s">
        <v>134</v>
      </c>
      <c r="K125" s="21"/>
      <c r="L125" s="3" t="s">
        <v>89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7.5" customHeight="1">
      <c r="A126" s="3">
        <f t="shared" si="1"/>
        <v>124</v>
      </c>
      <c r="B126" s="8"/>
      <c r="C126" s="8"/>
      <c r="D126" s="8"/>
      <c r="E126" s="10"/>
      <c r="F126" s="8"/>
      <c r="G126" s="18" t="s">
        <v>242</v>
      </c>
      <c r="H126" s="18" t="s">
        <v>243</v>
      </c>
      <c r="I126" s="6" t="s">
        <v>19</v>
      </c>
      <c r="J126" s="18" t="s">
        <v>193</v>
      </c>
      <c r="K126" s="21"/>
      <c r="L126" s="3" t="s">
        <v>89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7.5" customHeight="1">
      <c r="A127" s="3">
        <f t="shared" si="1"/>
        <v>125</v>
      </c>
      <c r="B127" s="8"/>
      <c r="C127" s="8"/>
      <c r="D127" s="8"/>
      <c r="E127" s="17" t="s">
        <v>244</v>
      </c>
      <c r="F127" s="8"/>
      <c r="G127" s="18" t="s">
        <v>245</v>
      </c>
      <c r="H127" s="18" t="s">
        <v>246</v>
      </c>
      <c r="I127" s="6" t="s">
        <v>19</v>
      </c>
      <c r="J127" s="18" t="s">
        <v>197</v>
      </c>
      <c r="K127" s="21"/>
      <c r="L127" s="3" t="s">
        <v>89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7.5" customHeight="1">
      <c r="A128" s="3">
        <f t="shared" si="1"/>
        <v>126</v>
      </c>
      <c r="B128" s="8"/>
      <c r="C128" s="8"/>
      <c r="D128" s="8"/>
      <c r="E128" s="8"/>
      <c r="F128" s="8"/>
      <c r="G128" s="18" t="s">
        <v>126</v>
      </c>
      <c r="H128" s="18" t="s">
        <v>149</v>
      </c>
      <c r="I128" s="6" t="s">
        <v>19</v>
      </c>
      <c r="J128" s="18" t="s">
        <v>150</v>
      </c>
      <c r="K128" s="21"/>
      <c r="L128" s="3" t="s">
        <v>89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7.5" customHeight="1">
      <c r="A129" s="3">
        <f t="shared" si="1"/>
        <v>127</v>
      </c>
      <c r="B129" s="8"/>
      <c r="C129" s="8"/>
      <c r="D129" s="8"/>
      <c r="E129" s="8"/>
      <c r="F129" s="8"/>
      <c r="G129" s="18" t="s">
        <v>129</v>
      </c>
      <c r="H129" s="18" t="s">
        <v>130</v>
      </c>
      <c r="I129" s="6" t="s">
        <v>19</v>
      </c>
      <c r="J129" s="18" t="s">
        <v>131</v>
      </c>
      <c r="K129" s="21"/>
      <c r="L129" s="3" t="s">
        <v>89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7.5" customHeight="1">
      <c r="A130" s="3">
        <f t="shared" si="1"/>
        <v>128</v>
      </c>
      <c r="B130" s="8"/>
      <c r="C130" s="8"/>
      <c r="D130" s="8"/>
      <c r="E130" s="8"/>
      <c r="F130" s="8"/>
      <c r="G130" s="18" t="s">
        <v>132</v>
      </c>
      <c r="H130" s="18" t="s">
        <v>133</v>
      </c>
      <c r="I130" s="6" t="s">
        <v>19</v>
      </c>
      <c r="J130" s="18" t="s">
        <v>134</v>
      </c>
      <c r="K130" s="21"/>
      <c r="L130" s="3" t="s">
        <v>89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7.5" customHeight="1">
      <c r="A131" s="3">
        <f t="shared" si="1"/>
        <v>129</v>
      </c>
      <c r="B131" s="8"/>
      <c r="C131" s="8"/>
      <c r="D131" s="8"/>
      <c r="E131" s="10"/>
      <c r="F131" s="8"/>
      <c r="G131" s="18" t="s">
        <v>247</v>
      </c>
      <c r="H131" s="18" t="s">
        <v>248</v>
      </c>
      <c r="I131" s="6" t="s">
        <v>19</v>
      </c>
      <c r="J131" s="18" t="s">
        <v>249</v>
      </c>
      <c r="K131" s="21"/>
      <c r="L131" s="3" t="s">
        <v>89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7.5" customHeight="1">
      <c r="A132" s="3">
        <f t="shared" si="1"/>
        <v>130</v>
      </c>
      <c r="B132" s="8"/>
      <c r="C132" s="8"/>
      <c r="D132" s="8"/>
      <c r="E132" s="17" t="s">
        <v>250</v>
      </c>
      <c r="F132" s="8"/>
      <c r="G132" s="18" t="s">
        <v>251</v>
      </c>
      <c r="H132" s="18" t="s">
        <v>252</v>
      </c>
      <c r="I132" s="6" t="s">
        <v>19</v>
      </c>
      <c r="J132" s="18" t="s">
        <v>253</v>
      </c>
      <c r="K132" s="21"/>
      <c r="L132" s="3" t="s">
        <v>89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7.5" customHeight="1">
      <c r="A133" s="3">
        <f t="shared" si="1"/>
        <v>131</v>
      </c>
      <c r="B133" s="8"/>
      <c r="C133" s="8"/>
      <c r="D133" s="8"/>
      <c r="E133" s="8"/>
      <c r="F133" s="8"/>
      <c r="G133" s="18" t="s">
        <v>126</v>
      </c>
      <c r="H133" s="18" t="s">
        <v>149</v>
      </c>
      <c r="I133" s="6" t="s">
        <v>19</v>
      </c>
      <c r="J133" s="18" t="s">
        <v>150</v>
      </c>
      <c r="K133" s="21"/>
      <c r="L133" s="3" t="s">
        <v>89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7.5" customHeight="1">
      <c r="A134" s="3">
        <f t="shared" si="1"/>
        <v>132</v>
      </c>
      <c r="B134" s="8"/>
      <c r="C134" s="8"/>
      <c r="D134" s="8"/>
      <c r="E134" s="8"/>
      <c r="F134" s="8"/>
      <c r="G134" s="18" t="s">
        <v>129</v>
      </c>
      <c r="H134" s="18" t="s">
        <v>130</v>
      </c>
      <c r="I134" s="6" t="s">
        <v>19</v>
      </c>
      <c r="J134" s="18" t="s">
        <v>131</v>
      </c>
      <c r="K134" s="21"/>
      <c r="L134" s="3" t="s">
        <v>89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7.5" customHeight="1">
      <c r="A135" s="3">
        <f t="shared" si="1"/>
        <v>133</v>
      </c>
      <c r="B135" s="8"/>
      <c r="C135" s="8"/>
      <c r="D135" s="8"/>
      <c r="E135" s="8"/>
      <c r="F135" s="8"/>
      <c r="G135" s="18" t="s">
        <v>132</v>
      </c>
      <c r="H135" s="18" t="s">
        <v>133</v>
      </c>
      <c r="I135" s="6" t="s">
        <v>19</v>
      </c>
      <c r="J135" s="18" t="s">
        <v>134</v>
      </c>
      <c r="K135" s="21"/>
      <c r="L135" s="3" t="s">
        <v>89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7.5" customHeight="1">
      <c r="A136" s="3">
        <f t="shared" si="1"/>
        <v>134</v>
      </c>
      <c r="B136" s="10"/>
      <c r="C136" s="8"/>
      <c r="D136" s="8"/>
      <c r="E136" s="10"/>
      <c r="F136" s="8"/>
      <c r="G136" s="18" t="s">
        <v>254</v>
      </c>
      <c r="H136" s="18" t="s">
        <v>255</v>
      </c>
      <c r="I136" s="6" t="s">
        <v>19</v>
      </c>
      <c r="J136" s="18" t="s">
        <v>256</v>
      </c>
      <c r="K136" s="21"/>
      <c r="L136" s="3" t="s">
        <v>89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7.5" customHeight="1">
      <c r="A137" s="3">
        <f t="shared" si="1"/>
        <v>135</v>
      </c>
      <c r="B137" s="23" t="s">
        <v>257</v>
      </c>
      <c r="C137" s="8"/>
      <c r="D137" s="8"/>
      <c r="E137" s="17" t="s">
        <v>258</v>
      </c>
      <c r="F137" s="8"/>
      <c r="G137" s="18" t="s">
        <v>259</v>
      </c>
      <c r="H137" s="18" t="s">
        <v>260</v>
      </c>
      <c r="I137" s="6" t="s">
        <v>19</v>
      </c>
      <c r="J137" s="18" t="s">
        <v>131</v>
      </c>
      <c r="K137" s="21"/>
      <c r="L137" s="3" t="s">
        <v>261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7.5" customHeight="1">
      <c r="A138" s="3">
        <f t="shared" si="1"/>
        <v>136</v>
      </c>
      <c r="B138" s="8"/>
      <c r="C138" s="8"/>
      <c r="D138" s="8"/>
      <c r="E138" s="8"/>
      <c r="F138" s="8"/>
      <c r="G138" s="18" t="s">
        <v>262</v>
      </c>
      <c r="H138" s="18" t="s">
        <v>260</v>
      </c>
      <c r="I138" s="6" t="s">
        <v>19</v>
      </c>
      <c r="J138" s="18" t="s">
        <v>134</v>
      </c>
      <c r="K138" s="21"/>
      <c r="L138" s="3" t="s">
        <v>261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7.5" customHeight="1">
      <c r="A139" s="3">
        <f t="shared" si="1"/>
        <v>137</v>
      </c>
      <c r="B139" s="8"/>
      <c r="C139" s="8"/>
      <c r="D139" s="8"/>
      <c r="E139" s="10"/>
      <c r="F139" s="8"/>
      <c r="G139" s="18" t="s">
        <v>263</v>
      </c>
      <c r="H139" s="18" t="s">
        <v>264</v>
      </c>
      <c r="I139" s="6" t="s">
        <v>19</v>
      </c>
      <c r="J139" s="18" t="s">
        <v>265</v>
      </c>
      <c r="K139" s="21"/>
      <c r="L139" s="3" t="s">
        <v>261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7.5" customHeight="1">
      <c r="A140" s="3">
        <f t="shared" si="1"/>
        <v>138</v>
      </c>
      <c r="B140" s="8"/>
      <c r="C140" s="8"/>
      <c r="D140" s="8"/>
      <c r="E140" s="17" t="s">
        <v>266</v>
      </c>
      <c r="F140" s="8"/>
      <c r="G140" s="18" t="s">
        <v>267</v>
      </c>
      <c r="H140" s="18" t="s">
        <v>163</v>
      </c>
      <c r="I140" s="6" t="s">
        <v>19</v>
      </c>
      <c r="J140" s="18" t="s">
        <v>268</v>
      </c>
      <c r="K140" s="21"/>
      <c r="L140" s="3" t="s">
        <v>261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7.5" customHeight="1">
      <c r="A141" s="3">
        <f t="shared" si="1"/>
        <v>139</v>
      </c>
      <c r="B141" s="8"/>
      <c r="C141" s="8"/>
      <c r="D141" s="8"/>
      <c r="E141" s="8"/>
      <c r="F141" s="8"/>
      <c r="G141" s="18" t="s">
        <v>269</v>
      </c>
      <c r="H141" s="18" t="s">
        <v>270</v>
      </c>
      <c r="I141" s="6" t="s">
        <v>19</v>
      </c>
      <c r="J141" s="18" t="s">
        <v>271</v>
      </c>
      <c r="K141" s="21"/>
      <c r="L141" s="3" t="s">
        <v>261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7.5" customHeight="1">
      <c r="A142" s="3">
        <f t="shared" si="1"/>
        <v>140</v>
      </c>
      <c r="B142" s="8"/>
      <c r="C142" s="10"/>
      <c r="D142" s="10"/>
      <c r="E142" s="10"/>
      <c r="F142" s="8"/>
      <c r="G142" s="18" t="s">
        <v>272</v>
      </c>
      <c r="H142" s="18" t="s">
        <v>273</v>
      </c>
      <c r="I142" s="6" t="s">
        <v>19</v>
      </c>
      <c r="J142" s="18" t="s">
        <v>274</v>
      </c>
      <c r="K142" s="21"/>
      <c r="L142" s="3" t="s">
        <v>261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7.5" customHeight="1">
      <c r="A143" s="3">
        <f t="shared" si="1"/>
        <v>141</v>
      </c>
      <c r="B143" s="8"/>
      <c r="C143" s="4" t="s">
        <v>275</v>
      </c>
      <c r="D143" s="26" t="s">
        <v>276</v>
      </c>
      <c r="E143" s="17" t="s">
        <v>277</v>
      </c>
      <c r="F143" s="8"/>
      <c r="G143" s="18" t="s">
        <v>278</v>
      </c>
      <c r="H143" s="19" t="s">
        <v>87</v>
      </c>
      <c r="I143" s="6" t="s">
        <v>19</v>
      </c>
      <c r="J143" s="18" t="s">
        <v>279</v>
      </c>
      <c r="K143" s="21"/>
      <c r="L143" s="3" t="s">
        <v>261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7.5" customHeight="1">
      <c r="A144" s="3">
        <f t="shared" si="1"/>
        <v>142</v>
      </c>
      <c r="B144" s="8"/>
      <c r="C144" s="8"/>
      <c r="D144" s="10"/>
      <c r="E144" s="10"/>
      <c r="F144" s="8"/>
      <c r="G144" s="18" t="s">
        <v>280</v>
      </c>
      <c r="H144" s="18" t="s">
        <v>281</v>
      </c>
      <c r="I144" s="6" t="s">
        <v>19</v>
      </c>
      <c r="J144" s="18" t="s">
        <v>282</v>
      </c>
      <c r="K144" s="21"/>
      <c r="L144" s="3" t="s">
        <v>261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7.5" customHeight="1">
      <c r="A145" s="3">
        <f t="shared" si="1"/>
        <v>143</v>
      </c>
      <c r="B145" s="8"/>
      <c r="C145" s="8"/>
      <c r="D145" s="26" t="s">
        <v>283</v>
      </c>
      <c r="E145" s="17" t="s">
        <v>284</v>
      </c>
      <c r="F145" s="8"/>
      <c r="G145" s="18" t="s">
        <v>285</v>
      </c>
      <c r="H145" s="19" t="s">
        <v>87</v>
      </c>
      <c r="I145" s="6" t="s">
        <v>19</v>
      </c>
      <c r="J145" s="18" t="s">
        <v>279</v>
      </c>
      <c r="K145" s="21"/>
      <c r="L145" s="3" t="s">
        <v>261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7.5" customHeight="1">
      <c r="A146" s="3">
        <f t="shared" si="1"/>
        <v>144</v>
      </c>
      <c r="B146" s="8"/>
      <c r="C146" s="8"/>
      <c r="D146" s="10"/>
      <c r="E146" s="10"/>
      <c r="F146" s="8"/>
      <c r="G146" s="18" t="s">
        <v>286</v>
      </c>
      <c r="H146" s="18" t="s">
        <v>287</v>
      </c>
      <c r="I146" s="6" t="s">
        <v>19</v>
      </c>
      <c r="J146" s="18" t="s">
        <v>153</v>
      </c>
      <c r="K146" s="21"/>
      <c r="L146" s="3" t="s">
        <v>261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7.5" customHeight="1">
      <c r="A147" s="3">
        <f t="shared" si="1"/>
        <v>145</v>
      </c>
      <c r="B147" s="8"/>
      <c r="C147" s="8"/>
      <c r="D147" s="26" t="s">
        <v>288</v>
      </c>
      <c r="E147" s="17" t="s">
        <v>289</v>
      </c>
      <c r="F147" s="8"/>
      <c r="G147" s="18" t="s">
        <v>290</v>
      </c>
      <c r="H147" s="19" t="s">
        <v>87</v>
      </c>
      <c r="I147" s="6" t="s">
        <v>19</v>
      </c>
      <c r="J147" s="18" t="s">
        <v>279</v>
      </c>
      <c r="K147" s="21"/>
      <c r="L147" s="3" t="s">
        <v>261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7.5" customHeight="1">
      <c r="A148" s="3">
        <f t="shared" si="1"/>
        <v>146</v>
      </c>
      <c r="B148" s="8"/>
      <c r="C148" s="8"/>
      <c r="D148" s="10"/>
      <c r="E148" s="10"/>
      <c r="F148" s="8"/>
      <c r="G148" s="18" t="s">
        <v>291</v>
      </c>
      <c r="H148" s="18" t="s">
        <v>292</v>
      </c>
      <c r="I148" s="6" t="s">
        <v>19</v>
      </c>
      <c r="J148" s="18" t="s">
        <v>160</v>
      </c>
      <c r="K148" s="21"/>
      <c r="L148" s="3" t="s">
        <v>261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7.5" customHeight="1">
      <c r="A149" s="3">
        <f t="shared" si="1"/>
        <v>147</v>
      </c>
      <c r="B149" s="8"/>
      <c r="C149" s="8"/>
      <c r="D149" s="26" t="s">
        <v>293</v>
      </c>
      <c r="E149" s="17" t="s">
        <v>294</v>
      </c>
      <c r="F149" s="8"/>
      <c r="G149" s="18" t="s">
        <v>295</v>
      </c>
      <c r="H149" s="19" t="s">
        <v>87</v>
      </c>
      <c r="I149" s="6" t="s">
        <v>19</v>
      </c>
      <c r="J149" s="18" t="s">
        <v>279</v>
      </c>
      <c r="K149" s="21"/>
      <c r="L149" s="3" t="s">
        <v>261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7.5" customHeight="1">
      <c r="A150" s="3">
        <f t="shared" si="1"/>
        <v>148</v>
      </c>
      <c r="B150" s="8"/>
      <c r="C150" s="8"/>
      <c r="D150" s="10"/>
      <c r="E150" s="10"/>
      <c r="F150" s="8"/>
      <c r="G150" s="18" t="s">
        <v>296</v>
      </c>
      <c r="H150" s="18" t="s">
        <v>297</v>
      </c>
      <c r="I150" s="6" t="s">
        <v>19</v>
      </c>
      <c r="J150" s="18" t="s">
        <v>145</v>
      </c>
      <c r="K150" s="21"/>
      <c r="L150" s="3" t="s">
        <v>261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7.5" customHeight="1">
      <c r="A151" s="3">
        <f t="shared" si="1"/>
        <v>149</v>
      </c>
      <c r="B151" s="8"/>
      <c r="C151" s="8"/>
      <c r="D151" s="23" t="s">
        <v>298</v>
      </c>
      <c r="E151" s="17" t="s">
        <v>299</v>
      </c>
      <c r="F151" s="8"/>
      <c r="G151" s="18" t="s">
        <v>300</v>
      </c>
      <c r="H151" s="19" t="s">
        <v>87</v>
      </c>
      <c r="I151" s="6" t="s">
        <v>19</v>
      </c>
      <c r="J151" s="18" t="s">
        <v>279</v>
      </c>
      <c r="K151" s="21"/>
      <c r="L151" s="3" t="s">
        <v>261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7.5" customHeight="1">
      <c r="A152" s="3">
        <f t="shared" si="1"/>
        <v>150</v>
      </c>
      <c r="B152" s="8"/>
      <c r="C152" s="10"/>
      <c r="D152" s="10"/>
      <c r="E152" s="10"/>
      <c r="F152" s="8"/>
      <c r="G152" s="18" t="s">
        <v>301</v>
      </c>
      <c r="H152" s="18" t="s">
        <v>302</v>
      </c>
      <c r="I152" s="6" t="s">
        <v>19</v>
      </c>
      <c r="J152" s="18" t="s">
        <v>186</v>
      </c>
      <c r="K152" s="21"/>
      <c r="L152" s="3" t="s">
        <v>261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7.5" customHeight="1">
      <c r="A153" s="3">
        <f t="shared" si="1"/>
        <v>151</v>
      </c>
      <c r="B153" s="8"/>
      <c r="C153" s="4" t="s">
        <v>303</v>
      </c>
      <c r="D153" s="23" t="s">
        <v>304</v>
      </c>
      <c r="E153" s="17" t="s">
        <v>305</v>
      </c>
      <c r="F153" s="8"/>
      <c r="G153" s="18" t="s">
        <v>306</v>
      </c>
      <c r="H153" s="19" t="s">
        <v>87</v>
      </c>
      <c r="I153" s="6" t="s">
        <v>19</v>
      </c>
      <c r="J153" s="18" t="s">
        <v>279</v>
      </c>
      <c r="K153" s="21"/>
      <c r="L153" s="3" t="s">
        <v>261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7.5" customHeight="1">
      <c r="A154" s="3">
        <f t="shared" si="1"/>
        <v>152</v>
      </c>
      <c r="B154" s="8"/>
      <c r="C154" s="8"/>
      <c r="D154" s="10"/>
      <c r="E154" s="10"/>
      <c r="F154" s="8"/>
      <c r="G154" s="18" t="s">
        <v>307</v>
      </c>
      <c r="H154" s="18" t="s">
        <v>308</v>
      </c>
      <c r="I154" s="6" t="s">
        <v>19</v>
      </c>
      <c r="J154" s="18" t="s">
        <v>309</v>
      </c>
      <c r="K154" s="21"/>
      <c r="L154" s="3" t="s">
        <v>261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7.5" customHeight="1">
      <c r="A155" s="3">
        <f t="shared" si="1"/>
        <v>153</v>
      </c>
      <c r="B155" s="8"/>
      <c r="C155" s="8"/>
      <c r="D155" s="23" t="s">
        <v>310</v>
      </c>
      <c r="E155" s="17" t="s">
        <v>311</v>
      </c>
      <c r="F155" s="8"/>
      <c r="G155" s="18" t="s">
        <v>312</v>
      </c>
      <c r="H155" s="19" t="s">
        <v>87</v>
      </c>
      <c r="I155" s="6" t="s">
        <v>19</v>
      </c>
      <c r="J155" s="18" t="s">
        <v>279</v>
      </c>
      <c r="K155" s="21"/>
      <c r="L155" s="3" t="s">
        <v>261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7.5" customHeight="1">
      <c r="A156" s="3">
        <f t="shared" si="1"/>
        <v>154</v>
      </c>
      <c r="B156" s="8"/>
      <c r="C156" s="8"/>
      <c r="D156" s="10"/>
      <c r="E156" s="10"/>
      <c r="F156" s="8"/>
      <c r="G156" s="18" t="s">
        <v>313</v>
      </c>
      <c r="H156" s="18" t="s">
        <v>314</v>
      </c>
      <c r="I156" s="6" t="s">
        <v>19</v>
      </c>
      <c r="J156" s="18" t="s">
        <v>315</v>
      </c>
      <c r="K156" s="21"/>
      <c r="L156" s="3" t="s">
        <v>261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7.5" customHeight="1">
      <c r="A157" s="3">
        <f t="shared" si="1"/>
        <v>155</v>
      </c>
      <c r="B157" s="8"/>
      <c r="C157" s="8"/>
      <c r="D157" s="23" t="s">
        <v>316</v>
      </c>
      <c r="E157" s="17" t="s">
        <v>317</v>
      </c>
      <c r="F157" s="8"/>
      <c r="G157" s="18" t="s">
        <v>318</v>
      </c>
      <c r="H157" s="19" t="s">
        <v>87</v>
      </c>
      <c r="I157" s="6" t="s">
        <v>19</v>
      </c>
      <c r="J157" s="18" t="s">
        <v>279</v>
      </c>
      <c r="K157" s="21"/>
      <c r="L157" s="3" t="s">
        <v>261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7.5" customHeight="1">
      <c r="A158" s="3">
        <f t="shared" si="1"/>
        <v>156</v>
      </c>
      <c r="B158" s="8"/>
      <c r="C158" s="10"/>
      <c r="D158" s="10"/>
      <c r="E158" s="10"/>
      <c r="F158" s="8"/>
      <c r="G158" s="18" t="s">
        <v>319</v>
      </c>
      <c r="H158" s="18" t="s">
        <v>320</v>
      </c>
      <c r="I158" s="6" t="s">
        <v>19</v>
      </c>
      <c r="J158" s="18" t="s">
        <v>321</v>
      </c>
      <c r="K158" s="21"/>
      <c r="L158" s="3" t="s">
        <v>261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7.5" customHeight="1">
      <c r="A159" s="3">
        <f t="shared" si="1"/>
        <v>157</v>
      </c>
      <c r="B159" s="8"/>
      <c r="C159" s="4" t="s">
        <v>322</v>
      </c>
      <c r="D159" s="23" t="s">
        <v>323</v>
      </c>
      <c r="E159" s="17" t="s">
        <v>324</v>
      </c>
      <c r="F159" s="8"/>
      <c r="G159" s="18" t="s">
        <v>325</v>
      </c>
      <c r="H159" s="19" t="s">
        <v>87</v>
      </c>
      <c r="I159" s="6" t="s">
        <v>19</v>
      </c>
      <c r="J159" s="18" t="s">
        <v>279</v>
      </c>
      <c r="K159" s="21"/>
      <c r="L159" s="3" t="s">
        <v>261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7.5" customHeight="1">
      <c r="A160" s="3">
        <f t="shared" si="1"/>
        <v>158</v>
      </c>
      <c r="B160" s="8"/>
      <c r="C160" s="8"/>
      <c r="D160" s="10"/>
      <c r="E160" s="10"/>
      <c r="F160" s="8"/>
      <c r="G160" s="5" t="s">
        <v>326</v>
      </c>
      <c r="H160" s="18" t="s">
        <v>327</v>
      </c>
      <c r="I160" s="6" t="s">
        <v>19</v>
      </c>
      <c r="J160" s="18" t="s">
        <v>328</v>
      </c>
      <c r="K160" s="21"/>
      <c r="L160" s="3" t="s">
        <v>261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7.5" customHeight="1">
      <c r="A161" s="3">
        <f t="shared" si="1"/>
        <v>159</v>
      </c>
      <c r="B161" s="8"/>
      <c r="C161" s="8"/>
      <c r="D161" s="23" t="s">
        <v>329</v>
      </c>
      <c r="E161" s="17" t="s">
        <v>330</v>
      </c>
      <c r="F161" s="8"/>
      <c r="G161" s="18" t="s">
        <v>331</v>
      </c>
      <c r="H161" s="18" t="s">
        <v>332</v>
      </c>
      <c r="I161" s="6" t="s">
        <v>19</v>
      </c>
      <c r="J161" s="18" t="s">
        <v>333</v>
      </c>
      <c r="K161" s="21"/>
      <c r="L161" s="3" t="s">
        <v>261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7.5" customHeight="1">
      <c r="A162" s="3">
        <f t="shared" si="1"/>
        <v>160</v>
      </c>
      <c r="B162" s="8"/>
      <c r="C162" s="8"/>
      <c r="D162" s="10"/>
      <c r="E162" s="10"/>
      <c r="F162" s="8"/>
      <c r="G162" s="18" t="s">
        <v>334</v>
      </c>
      <c r="H162" s="18" t="s">
        <v>335</v>
      </c>
      <c r="I162" s="6" t="s">
        <v>19</v>
      </c>
      <c r="J162" s="18" t="s">
        <v>336</v>
      </c>
      <c r="K162" s="21"/>
      <c r="L162" s="3" t="s">
        <v>261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7.5" customHeight="1">
      <c r="A163" s="3">
        <f t="shared" si="1"/>
        <v>161</v>
      </c>
      <c r="B163" s="8"/>
      <c r="C163" s="8"/>
      <c r="D163" s="23" t="s">
        <v>337</v>
      </c>
      <c r="E163" s="22" t="s">
        <v>338</v>
      </c>
      <c r="F163" s="8"/>
      <c r="G163" s="18" t="s">
        <v>339</v>
      </c>
      <c r="H163" s="18" t="s">
        <v>340</v>
      </c>
      <c r="I163" s="6" t="s">
        <v>19</v>
      </c>
      <c r="J163" s="18" t="s">
        <v>341</v>
      </c>
      <c r="K163" s="21"/>
      <c r="L163" s="3" t="s">
        <v>261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7.5" customHeight="1">
      <c r="A164" s="3">
        <f t="shared" si="1"/>
        <v>162</v>
      </c>
      <c r="B164" s="8"/>
      <c r="C164" s="8"/>
      <c r="D164" s="8"/>
      <c r="E164" s="10"/>
      <c r="F164" s="8"/>
      <c r="G164" s="21" t="s">
        <v>342</v>
      </c>
      <c r="H164" s="18" t="s">
        <v>343</v>
      </c>
      <c r="I164" s="6" t="s">
        <v>19</v>
      </c>
      <c r="J164" s="18" t="s">
        <v>344</v>
      </c>
      <c r="K164" s="21"/>
      <c r="L164" s="3" t="s">
        <v>261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7.5" customHeight="1">
      <c r="A165" s="3">
        <f t="shared" si="1"/>
        <v>163</v>
      </c>
      <c r="B165" s="8"/>
      <c r="C165" s="8"/>
      <c r="D165" s="8"/>
      <c r="E165" s="22" t="s">
        <v>345</v>
      </c>
      <c r="F165" s="8"/>
      <c r="G165" s="21" t="s">
        <v>339</v>
      </c>
      <c r="H165" s="18" t="s">
        <v>340</v>
      </c>
      <c r="I165" s="6" t="s">
        <v>19</v>
      </c>
      <c r="J165" s="18" t="s">
        <v>341</v>
      </c>
      <c r="K165" s="21"/>
      <c r="L165" s="3" t="s">
        <v>261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7.5" customHeight="1">
      <c r="A166" s="3">
        <f t="shared" si="1"/>
        <v>164</v>
      </c>
      <c r="B166" s="8"/>
      <c r="C166" s="8"/>
      <c r="D166" s="8"/>
      <c r="E166" s="10"/>
      <c r="F166" s="8"/>
      <c r="G166" s="18" t="s">
        <v>346</v>
      </c>
      <c r="H166" s="18" t="s">
        <v>343</v>
      </c>
      <c r="I166" s="6" t="s">
        <v>19</v>
      </c>
      <c r="J166" s="18" t="s">
        <v>344</v>
      </c>
      <c r="K166" s="21"/>
      <c r="L166" s="3" t="s">
        <v>261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7.5" customHeight="1">
      <c r="A167" s="3">
        <f t="shared" si="1"/>
        <v>165</v>
      </c>
      <c r="B167" s="8"/>
      <c r="C167" s="8"/>
      <c r="D167" s="8"/>
      <c r="E167" s="22" t="s">
        <v>347</v>
      </c>
      <c r="F167" s="8"/>
      <c r="G167" s="21" t="s">
        <v>339</v>
      </c>
      <c r="H167" s="18" t="s">
        <v>340</v>
      </c>
      <c r="I167" s="6" t="s">
        <v>19</v>
      </c>
      <c r="J167" s="18" t="s">
        <v>341</v>
      </c>
      <c r="K167" s="21"/>
      <c r="L167" s="3" t="s">
        <v>261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7.5" customHeight="1">
      <c r="A168" s="3">
        <f t="shared" si="1"/>
        <v>166</v>
      </c>
      <c r="B168" s="8"/>
      <c r="C168" s="8"/>
      <c r="D168" s="8"/>
      <c r="E168" s="10"/>
      <c r="F168" s="8"/>
      <c r="G168" s="18" t="s">
        <v>348</v>
      </c>
      <c r="H168" s="18" t="s">
        <v>349</v>
      </c>
      <c r="I168" s="6" t="s">
        <v>19</v>
      </c>
      <c r="J168" s="18" t="s">
        <v>344</v>
      </c>
      <c r="K168" s="21"/>
      <c r="L168" s="3" t="s">
        <v>261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7.5" customHeight="1">
      <c r="A169" s="3">
        <f t="shared" si="1"/>
        <v>167</v>
      </c>
      <c r="B169" s="8"/>
      <c r="C169" s="8"/>
      <c r="D169" s="8"/>
      <c r="E169" s="22" t="s">
        <v>350</v>
      </c>
      <c r="F169" s="8"/>
      <c r="G169" s="21" t="s">
        <v>339</v>
      </c>
      <c r="H169" s="18" t="s">
        <v>340</v>
      </c>
      <c r="I169" s="6" t="s">
        <v>19</v>
      </c>
      <c r="J169" s="18" t="s">
        <v>341</v>
      </c>
      <c r="K169" s="21"/>
      <c r="L169" s="3" t="s">
        <v>261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7.5" customHeight="1">
      <c r="A170" s="3">
        <f t="shared" si="1"/>
        <v>168</v>
      </c>
      <c r="B170" s="8"/>
      <c r="C170" s="8"/>
      <c r="D170" s="10"/>
      <c r="E170" s="10"/>
      <c r="F170" s="8"/>
      <c r="G170" s="18" t="s">
        <v>351</v>
      </c>
      <c r="H170" s="19" t="s">
        <v>352</v>
      </c>
      <c r="I170" s="6" t="s">
        <v>19</v>
      </c>
      <c r="J170" s="19" t="s">
        <v>353</v>
      </c>
      <c r="K170" s="21"/>
      <c r="L170" s="3" t="s">
        <v>261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7.5" customHeight="1">
      <c r="A171" s="3">
        <f t="shared" si="1"/>
        <v>169</v>
      </c>
      <c r="B171" s="8"/>
      <c r="C171" s="8"/>
      <c r="D171" s="23" t="s">
        <v>354</v>
      </c>
      <c r="E171" s="22" t="s">
        <v>355</v>
      </c>
      <c r="F171" s="8"/>
      <c r="G171" s="18" t="s">
        <v>356</v>
      </c>
      <c r="H171" s="19" t="s">
        <v>357</v>
      </c>
      <c r="I171" s="6" t="s">
        <v>19</v>
      </c>
      <c r="J171" s="19" t="s">
        <v>358</v>
      </c>
      <c r="K171" s="21"/>
      <c r="L171" s="3" t="s">
        <v>261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7.5" customHeight="1">
      <c r="A172" s="3">
        <f t="shared" si="1"/>
        <v>170</v>
      </c>
      <c r="B172" s="8"/>
      <c r="C172" s="8"/>
      <c r="D172" s="8"/>
      <c r="E172" s="10"/>
      <c r="F172" s="8"/>
      <c r="G172" s="21" t="s">
        <v>359</v>
      </c>
      <c r="H172" s="18" t="s">
        <v>343</v>
      </c>
      <c r="I172" s="6" t="s">
        <v>19</v>
      </c>
      <c r="J172" s="19" t="s">
        <v>344</v>
      </c>
      <c r="K172" s="21"/>
      <c r="L172" s="3" t="s">
        <v>261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7.5" customHeight="1">
      <c r="A173" s="3">
        <f t="shared" si="1"/>
        <v>171</v>
      </c>
      <c r="B173" s="8"/>
      <c r="C173" s="8"/>
      <c r="D173" s="8"/>
      <c r="E173" s="22" t="s">
        <v>360</v>
      </c>
      <c r="F173" s="8"/>
      <c r="G173" s="21" t="s">
        <v>356</v>
      </c>
      <c r="H173" s="19" t="s">
        <v>357</v>
      </c>
      <c r="I173" s="6" t="s">
        <v>19</v>
      </c>
      <c r="J173" s="19" t="s">
        <v>358</v>
      </c>
      <c r="K173" s="21"/>
      <c r="L173" s="3" t="s">
        <v>261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7.5" customHeight="1">
      <c r="A174" s="3">
        <f t="shared" si="1"/>
        <v>172</v>
      </c>
      <c r="B174" s="8"/>
      <c r="C174" s="8"/>
      <c r="D174" s="8"/>
      <c r="E174" s="10"/>
      <c r="F174" s="8"/>
      <c r="G174" s="21" t="s">
        <v>361</v>
      </c>
      <c r="H174" s="18" t="s">
        <v>343</v>
      </c>
      <c r="I174" s="6" t="s">
        <v>19</v>
      </c>
      <c r="J174" s="19" t="s">
        <v>344</v>
      </c>
      <c r="K174" s="21"/>
      <c r="L174" s="3" t="s">
        <v>261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7.5" customHeight="1">
      <c r="A175" s="3">
        <f t="shared" si="1"/>
        <v>173</v>
      </c>
      <c r="B175" s="8"/>
      <c r="C175" s="8"/>
      <c r="D175" s="8"/>
      <c r="E175" s="22" t="s">
        <v>362</v>
      </c>
      <c r="F175" s="8"/>
      <c r="G175" s="21" t="s">
        <v>356</v>
      </c>
      <c r="H175" s="19" t="s">
        <v>357</v>
      </c>
      <c r="I175" s="6" t="s">
        <v>19</v>
      </c>
      <c r="J175" s="19" t="s">
        <v>358</v>
      </c>
      <c r="K175" s="21"/>
      <c r="L175" s="3" t="s">
        <v>261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7.5" customHeight="1">
      <c r="A176" s="3">
        <f t="shared" si="1"/>
        <v>174</v>
      </c>
      <c r="B176" s="8"/>
      <c r="C176" s="8"/>
      <c r="D176" s="8"/>
      <c r="E176" s="10"/>
      <c r="F176" s="8"/>
      <c r="G176" s="21" t="s">
        <v>363</v>
      </c>
      <c r="H176" s="18" t="s">
        <v>343</v>
      </c>
      <c r="I176" s="6" t="s">
        <v>19</v>
      </c>
      <c r="J176" s="19" t="s">
        <v>344</v>
      </c>
      <c r="K176" s="21"/>
      <c r="L176" s="3" t="s">
        <v>261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7.5" customHeight="1">
      <c r="A177" s="3">
        <f t="shared" si="1"/>
        <v>175</v>
      </c>
      <c r="B177" s="8"/>
      <c r="C177" s="8"/>
      <c r="D177" s="8"/>
      <c r="E177" s="22" t="s">
        <v>364</v>
      </c>
      <c r="F177" s="8"/>
      <c r="G177" s="21" t="s">
        <v>356</v>
      </c>
      <c r="H177" s="19" t="s">
        <v>357</v>
      </c>
      <c r="I177" s="6" t="s">
        <v>19</v>
      </c>
      <c r="J177" s="19" t="s">
        <v>358</v>
      </c>
      <c r="K177" s="21"/>
      <c r="L177" s="3" t="s">
        <v>261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7.5" customHeight="1">
      <c r="A178" s="3">
        <f t="shared" si="1"/>
        <v>176</v>
      </c>
      <c r="B178" s="8"/>
      <c r="C178" s="10"/>
      <c r="D178" s="10"/>
      <c r="E178" s="10"/>
      <c r="F178" s="8"/>
      <c r="G178" s="21" t="s">
        <v>365</v>
      </c>
      <c r="H178" s="18" t="s">
        <v>343</v>
      </c>
      <c r="I178" s="6" t="s">
        <v>19</v>
      </c>
      <c r="J178" s="19" t="s">
        <v>344</v>
      </c>
      <c r="K178" s="21"/>
      <c r="L178" s="3" t="s">
        <v>261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7.5" customHeight="1">
      <c r="A179" s="3">
        <f t="shared" si="1"/>
        <v>177</v>
      </c>
      <c r="B179" s="8"/>
      <c r="C179" s="27" t="s">
        <v>366</v>
      </c>
      <c r="D179" s="23" t="s">
        <v>367</v>
      </c>
      <c r="E179" s="17" t="s">
        <v>368</v>
      </c>
      <c r="F179" s="8"/>
      <c r="G179" s="18" t="s">
        <v>369</v>
      </c>
      <c r="H179" s="18" t="s">
        <v>370</v>
      </c>
      <c r="I179" s="6" t="s">
        <v>19</v>
      </c>
      <c r="J179" s="18" t="s">
        <v>371</v>
      </c>
      <c r="K179" s="21"/>
      <c r="L179" s="3" t="s">
        <v>261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7.5" customHeight="1">
      <c r="A180" s="3">
        <f t="shared" si="1"/>
        <v>178</v>
      </c>
      <c r="B180" s="8"/>
      <c r="C180" s="8"/>
      <c r="D180" s="10"/>
      <c r="E180" s="10"/>
      <c r="F180" s="8"/>
      <c r="G180" s="21" t="s">
        <v>372</v>
      </c>
      <c r="H180" s="18" t="s">
        <v>373</v>
      </c>
      <c r="I180" s="6" t="s">
        <v>19</v>
      </c>
      <c r="J180" s="18" t="s">
        <v>371</v>
      </c>
      <c r="K180" s="21"/>
      <c r="L180" s="3" t="s">
        <v>261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7.5" customHeight="1">
      <c r="A181" s="3">
        <f t="shared" si="1"/>
        <v>179</v>
      </c>
      <c r="B181" s="8"/>
      <c r="C181" s="8"/>
      <c r="D181" s="23" t="s">
        <v>374</v>
      </c>
      <c r="E181" s="17" t="s">
        <v>375</v>
      </c>
      <c r="F181" s="8"/>
      <c r="G181" s="18" t="s">
        <v>376</v>
      </c>
      <c r="H181" s="18" t="s">
        <v>377</v>
      </c>
      <c r="I181" s="6" t="s">
        <v>19</v>
      </c>
      <c r="J181" s="18" t="s">
        <v>371</v>
      </c>
      <c r="K181" s="21"/>
      <c r="L181" s="3" t="s">
        <v>261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7.5" customHeight="1">
      <c r="A182" s="3">
        <f t="shared" si="1"/>
        <v>180</v>
      </c>
      <c r="B182" s="8"/>
      <c r="C182" s="8"/>
      <c r="D182" s="10"/>
      <c r="E182" s="10"/>
      <c r="F182" s="8"/>
      <c r="G182" s="18" t="s">
        <v>378</v>
      </c>
      <c r="H182" s="18" t="s">
        <v>379</v>
      </c>
      <c r="I182" s="6" t="s">
        <v>19</v>
      </c>
      <c r="J182" s="18" t="s">
        <v>371</v>
      </c>
      <c r="K182" s="21"/>
      <c r="L182" s="3" t="s">
        <v>261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7.5" customHeight="1">
      <c r="A183" s="3">
        <f t="shared" si="1"/>
        <v>181</v>
      </c>
      <c r="B183" s="8"/>
      <c r="C183" s="8"/>
      <c r="D183" s="28" t="s">
        <v>380</v>
      </c>
      <c r="E183" s="18" t="s">
        <v>381</v>
      </c>
      <c r="F183" s="8"/>
      <c r="G183" s="18" t="s">
        <v>382</v>
      </c>
      <c r="H183" s="18" t="s">
        <v>383</v>
      </c>
      <c r="I183" s="6" t="s">
        <v>19</v>
      </c>
      <c r="J183" s="18" t="s">
        <v>371</v>
      </c>
      <c r="K183" s="21"/>
      <c r="L183" s="3" t="s">
        <v>261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7.5" customHeight="1">
      <c r="A184" s="3">
        <f t="shared" si="1"/>
        <v>182</v>
      </c>
      <c r="B184" s="10"/>
      <c r="C184" s="10"/>
      <c r="D184" s="28" t="s">
        <v>384</v>
      </c>
      <c r="E184" s="18" t="s">
        <v>385</v>
      </c>
      <c r="F184" s="10"/>
      <c r="G184" s="18" t="s">
        <v>386</v>
      </c>
      <c r="H184" s="18" t="s">
        <v>387</v>
      </c>
      <c r="I184" s="6" t="s">
        <v>19</v>
      </c>
      <c r="J184" s="18" t="s">
        <v>371</v>
      </c>
      <c r="K184" s="21"/>
      <c r="L184" s="3" t="s">
        <v>261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7.5" customHeight="1"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7.5" customHeight="1">
      <c r="A186" s="29"/>
      <c r="B186" s="2"/>
      <c r="C186" s="2"/>
      <c r="D186" s="2"/>
      <c r="E186" s="30"/>
      <c r="F186" s="2"/>
      <c r="G186" s="30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7.5" customHeight="1">
      <c r="A187" s="29"/>
      <c r="B187" s="2"/>
      <c r="C187" s="2"/>
      <c r="D187" s="2"/>
      <c r="E187" s="30"/>
      <c r="F187" s="2"/>
      <c r="G187" s="30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7.5" customHeight="1">
      <c r="A188" s="29"/>
      <c r="B188" s="2"/>
      <c r="C188" s="2"/>
      <c r="D188" s="2"/>
      <c r="E188" s="30"/>
      <c r="F188" s="2"/>
      <c r="G188" s="30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7.5" customHeight="1">
      <c r="A189" s="29"/>
      <c r="B189" s="2"/>
      <c r="C189" s="2"/>
      <c r="D189" s="2"/>
      <c r="E189" s="30"/>
      <c r="F189" s="2"/>
      <c r="G189" s="30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7.5" customHeight="1">
      <c r="A190" s="2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7.5" customHeight="1">
      <c r="A191" s="2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7.5" customHeight="1">
      <c r="A192" s="2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7.5" customHeight="1">
      <c r="A193" s="2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7.5" customHeight="1">
      <c r="A194" s="2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7.5" customHeight="1">
      <c r="A195" s="2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7.5" customHeight="1">
      <c r="A196" s="2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7.5" customHeight="1">
      <c r="A197" s="2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7.5" customHeight="1">
      <c r="A198" s="2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7.5" customHeight="1">
      <c r="A199" s="2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7.5" customHeight="1">
      <c r="A200" s="2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7.5" customHeight="1">
      <c r="A201" s="2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7.5" customHeight="1">
      <c r="A202" s="2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4">
    <mergeCell ref="E9:E10"/>
    <mergeCell ref="E11:E12"/>
    <mergeCell ref="D15:D16"/>
    <mergeCell ref="E15:E16"/>
    <mergeCell ref="D17:D18"/>
    <mergeCell ref="E17:E18"/>
    <mergeCell ref="D19:D30"/>
    <mergeCell ref="E19:E20"/>
    <mergeCell ref="E21:E22"/>
    <mergeCell ref="E23:E24"/>
    <mergeCell ref="E25:E26"/>
    <mergeCell ref="E27:E28"/>
    <mergeCell ref="E5:E8"/>
    <mergeCell ref="E29:E31"/>
    <mergeCell ref="E37:E41"/>
    <mergeCell ref="E42:E46"/>
    <mergeCell ref="E47:E51"/>
    <mergeCell ref="E52:E56"/>
    <mergeCell ref="E57:E61"/>
    <mergeCell ref="E62:E66"/>
    <mergeCell ref="E67:E71"/>
    <mergeCell ref="E72:E76"/>
    <mergeCell ref="E77:E81"/>
    <mergeCell ref="E82:E86"/>
    <mergeCell ref="E87:E91"/>
    <mergeCell ref="E92:E96"/>
    <mergeCell ref="E97:E101"/>
    <mergeCell ref="E102:E106"/>
    <mergeCell ref="E107:E111"/>
    <mergeCell ref="E112:E116"/>
    <mergeCell ref="E117:E121"/>
    <mergeCell ref="E122:E126"/>
    <mergeCell ref="F2:F18"/>
    <mergeCell ref="E32:E36"/>
    <mergeCell ref="E127:E131"/>
    <mergeCell ref="E132:E136"/>
    <mergeCell ref="C143:C152"/>
    <mergeCell ref="D143:D144"/>
    <mergeCell ref="D145:D146"/>
    <mergeCell ref="D147:D148"/>
    <mergeCell ref="D149:D150"/>
    <mergeCell ref="D151:D152"/>
    <mergeCell ref="E143:E144"/>
    <mergeCell ref="E145:E146"/>
    <mergeCell ref="E147:E148"/>
    <mergeCell ref="E149:E150"/>
    <mergeCell ref="C5:C142"/>
    <mergeCell ref="C153:C158"/>
    <mergeCell ref="D153:D154"/>
    <mergeCell ref="E153:E154"/>
    <mergeCell ref="D31:D142"/>
    <mergeCell ref="E137:E139"/>
    <mergeCell ref="E140:E142"/>
    <mergeCell ref="E179:E180"/>
    <mergeCell ref="D181:D182"/>
    <mergeCell ref="E181:E182"/>
    <mergeCell ref="B2:B4"/>
    <mergeCell ref="C3:C4"/>
    <mergeCell ref="B5:B136"/>
    <mergeCell ref="D5:D14"/>
    <mergeCell ref="F19:F184"/>
    <mergeCell ref="B137:B184"/>
    <mergeCell ref="C159:C178"/>
    <mergeCell ref="D155:D156"/>
    <mergeCell ref="E155:E156"/>
    <mergeCell ref="D157:D158"/>
    <mergeCell ref="E157:E158"/>
    <mergeCell ref="E151:E152"/>
    <mergeCell ref="D159:D160"/>
    <mergeCell ref="E159:E160"/>
    <mergeCell ref="D161:D162"/>
    <mergeCell ref="E161:E162"/>
    <mergeCell ref="D163:D170"/>
    <mergeCell ref="E163:E164"/>
    <mergeCell ref="E165:E166"/>
    <mergeCell ref="E167:E168"/>
    <mergeCell ref="E169:E170"/>
    <mergeCell ref="D171:D178"/>
    <mergeCell ref="E171:E172"/>
    <mergeCell ref="E173:E174"/>
    <mergeCell ref="E175:E176"/>
    <mergeCell ref="E177:E178"/>
    <mergeCell ref="C179:C184"/>
    <mergeCell ref="D179:D180"/>
  </mergeCells>
  <conditionalFormatting sqref="A1:G1">
    <cfRule type="containsBlanks" dxfId="0" priority="1">
      <formula>LEN(TRIM(A1))=0</formula>
    </cfRule>
  </conditionalFormatting>
  <conditionalFormatting sqref="A1:G1">
    <cfRule type="containsText" dxfId="1" priority="2" operator="containsText" text="Pass">
      <formula>NOT(ISERROR(SEARCH(("Pass"),(A1))))</formula>
    </cfRule>
  </conditionalFormatting>
  <conditionalFormatting sqref="A1:G1">
    <cfRule type="containsText" dxfId="2" priority="3" operator="containsText" text="Fail">
      <formula>NOT(ISERROR(SEARCH(("Fail"),(A1))))</formula>
    </cfRule>
  </conditionalFormatting>
  <conditionalFormatting sqref="A1:G1">
    <cfRule type="containsText" dxfId="3" priority="4" operator="containsText" text="Block">
      <formula>NOT(ISERROR(SEARCH(("Block"),(A1))))</formula>
    </cfRule>
  </conditionalFormatting>
  <conditionalFormatting sqref="A1:G1">
    <cfRule type="containsText" dxfId="4" priority="5" operator="containsText" text="N/A">
      <formula>NOT(ISERROR(SEARCH(("N/A"),(A1))))</formula>
    </cfRule>
  </conditionalFormatting>
  <conditionalFormatting sqref="A1:G1">
    <cfRule type="containsText" dxfId="5" priority="6" operator="containsText" text="N/T">
      <formula>NOT(ISERROR(SEARCH(("N/T"),(A1))))</formula>
    </cfRule>
  </conditionalFormatting>
  <conditionalFormatting sqref="I1">
    <cfRule type="containsText" dxfId="6" priority="7" operator="containsText" text="Pass">
      <formula>NOT(ISERROR(SEARCH(("Pass"),(I1))))</formula>
    </cfRule>
  </conditionalFormatting>
  <conditionalFormatting sqref="I1">
    <cfRule type="containsText" dxfId="7" priority="8" operator="containsText" text="Fail">
      <formula>NOT(ISERROR(SEARCH(("Fail"),(I1))))</formula>
    </cfRule>
  </conditionalFormatting>
  <conditionalFormatting sqref="I1">
    <cfRule type="containsText" dxfId="8" priority="9" operator="containsText" text="Block">
      <formula>NOT(ISERROR(SEARCH(("Block"),(I1))))</formula>
    </cfRule>
  </conditionalFormatting>
  <conditionalFormatting sqref="I1">
    <cfRule type="containsText" dxfId="9" priority="10" operator="containsText" text="N/A">
      <formula>NOT(ISERROR(SEARCH(("N/A"),(I1))))</formula>
    </cfRule>
  </conditionalFormatting>
  <conditionalFormatting sqref="I1:I184">
    <cfRule type="containsBlanks" dxfId="0" priority="11">
      <formula>LEN(TRIM(I1))=0</formula>
    </cfRule>
  </conditionalFormatting>
  <conditionalFormatting sqref="I1:I184">
    <cfRule type="containsText" dxfId="5" priority="12" operator="containsText" text="N/T">
      <formula>NOT(ISERROR(SEARCH(("N/T"),(I1))))</formula>
    </cfRule>
  </conditionalFormatting>
  <conditionalFormatting sqref="I2:I184">
    <cfRule type="containsText" dxfId="1" priority="13" operator="containsText" text="Pass">
      <formula>NOT(ISERROR(SEARCH(("Pass"),(I2))))</formula>
    </cfRule>
  </conditionalFormatting>
  <conditionalFormatting sqref="I2:I184">
    <cfRule type="containsText" dxfId="2" priority="14" operator="containsText" text="Fail">
      <formula>NOT(ISERROR(SEARCH(("Fail"),(I2))))</formula>
    </cfRule>
  </conditionalFormatting>
  <conditionalFormatting sqref="I2:I184">
    <cfRule type="containsText" dxfId="3" priority="15" operator="containsText" text="Block">
      <formula>NOT(ISERROR(SEARCH(("Block"),(I2))))</formula>
    </cfRule>
  </conditionalFormatting>
  <conditionalFormatting sqref="I2:I184">
    <cfRule type="containsText" dxfId="4" priority="16" operator="containsText" text="N/A">
      <formula>NOT(ISERROR(SEARCH(("N/A"),(I2))))</formula>
    </cfRule>
  </conditionalFormatting>
  <conditionalFormatting sqref="J1:L1">
    <cfRule type="containsBlanks" dxfId="0" priority="17">
      <formula>LEN(TRIM(J1))=0</formula>
    </cfRule>
  </conditionalFormatting>
  <conditionalFormatting sqref="J1:L1">
    <cfRule type="containsText" dxfId="1" priority="18" operator="containsText" text="Pass">
      <formula>NOT(ISERROR(SEARCH(("Pass"),(J1))))</formula>
    </cfRule>
  </conditionalFormatting>
  <conditionalFormatting sqref="J1:L1">
    <cfRule type="containsText" dxfId="2" priority="19" operator="containsText" text="Fail">
      <formula>NOT(ISERROR(SEARCH(("Fail"),(J1))))</formula>
    </cfRule>
  </conditionalFormatting>
  <conditionalFormatting sqref="J1:L1">
    <cfRule type="containsText" dxfId="3" priority="20" operator="containsText" text="Block">
      <formula>NOT(ISERROR(SEARCH(("Block"),(J1))))</formula>
    </cfRule>
  </conditionalFormatting>
  <conditionalFormatting sqref="J1:L1">
    <cfRule type="containsText" dxfId="4" priority="21" operator="containsText" text="N/A">
      <formula>NOT(ISERROR(SEARCH(("N/A"),(J1))))</formula>
    </cfRule>
  </conditionalFormatting>
  <conditionalFormatting sqref="J1:L1">
    <cfRule type="containsText" dxfId="5" priority="22" operator="containsText" text="N/T">
      <formula>NOT(ISERROR(SEARCH(("N/T"),(J1))))</formula>
    </cfRule>
  </conditionalFormatting>
  <dataValidations>
    <dataValidation type="list" allowBlank="1" showErrorMessage="1" sqref="I2:I184">
      <formula1>"Pass,Fail,Block,N/A,N/T"</formula1>
    </dataValidation>
    <dataValidation type="list" allowBlank="1" showErrorMessage="1" sqref="L2:L184">
      <formula1>"게임실행,메뉴기능,인게임기능"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6.43"/>
    <col customWidth="1" min="3" max="3" width="15.71"/>
    <col customWidth="1" min="4" max="9" width="8.71"/>
    <col customWidth="1" min="10" max="10" width="9.71"/>
    <col customWidth="1" min="11" max="26" width="12.57"/>
  </cols>
  <sheetData>
    <row r="1" ht="12.75" customHeight="1">
      <c r="A1" s="31" t="s">
        <v>388</v>
      </c>
    </row>
    <row r="2" ht="12.75" customHeight="1">
      <c r="A2" s="32" t="s">
        <v>389</v>
      </c>
      <c r="B2" s="32" t="s">
        <v>390</v>
      </c>
      <c r="C2" s="32" t="s">
        <v>391</v>
      </c>
      <c r="D2" s="32" t="s">
        <v>19</v>
      </c>
      <c r="E2" s="32" t="s">
        <v>392</v>
      </c>
      <c r="F2" s="32" t="s">
        <v>104</v>
      </c>
      <c r="G2" s="32" t="s">
        <v>393</v>
      </c>
      <c r="H2" s="32" t="s">
        <v>394</v>
      </c>
      <c r="I2" s="32" t="s">
        <v>395</v>
      </c>
      <c r="J2" s="32" t="s">
        <v>396</v>
      </c>
    </row>
    <row r="3" ht="12.75" customHeight="1">
      <c r="A3" s="33" t="s">
        <v>21</v>
      </c>
      <c r="B3" s="34">
        <f>COUNTIF(TestCase!L:L,A3)</f>
        <v>17</v>
      </c>
      <c r="C3" s="35">
        <f t="shared" ref="C3:C5" si="1">IFERROR(B3/$B$6,0)</f>
        <v>0.09289617486</v>
      </c>
      <c r="D3" s="34">
        <f>COUNTIFS(TestCase!$I:$I,"*"&amp;D$2&amp;"*",TestCase!$L:$L,$A3)</f>
        <v>17</v>
      </c>
      <c r="E3" s="34">
        <f>COUNTIFS(TestCase!$I:$I,"*"&amp;E$2&amp;"*",TestCase!$L:$L,$A3)</f>
        <v>0</v>
      </c>
      <c r="F3" s="34">
        <f>COUNTIFS(TestCase!$I:$I,"*"&amp;F$2&amp;"*",TestCase!$L:$L,$A3)</f>
        <v>0</v>
      </c>
      <c r="G3" s="34">
        <f>COUNTIFS(TestCase!$I:$I,"*"&amp;G$2&amp;"*",TestCase!$L:$L,$A3)</f>
        <v>0</v>
      </c>
      <c r="H3" s="34">
        <f>COUNTIFS(TestCase!$I:$I,"*"&amp;H$2&amp;"*",TestCase!$L:$L,$A3)</f>
        <v>0</v>
      </c>
      <c r="I3" s="34">
        <f>COUNTIFS(TestCase!$I:$I,"*"&amp;I$2&amp;"*",TestCase!$L:$L,$A3)</f>
        <v>0</v>
      </c>
      <c r="J3" s="36">
        <f t="shared" ref="J3:J5" si="2">I3/B3</f>
        <v>0</v>
      </c>
    </row>
    <row r="4" ht="12.75" customHeight="1">
      <c r="A4" s="33" t="s">
        <v>89</v>
      </c>
      <c r="B4" s="34">
        <f>COUNTIF(TestCase!L:L,A4)</f>
        <v>118</v>
      </c>
      <c r="C4" s="35">
        <f t="shared" si="1"/>
        <v>0.6448087432</v>
      </c>
      <c r="D4" s="34">
        <f>COUNTIFS(TestCase!$I:$I,"*"&amp;D$2&amp;"*",TestCase!$L:$L,$A4)</f>
        <v>115</v>
      </c>
      <c r="E4" s="34">
        <f>COUNTIFS(TestCase!$I:$I,"*"&amp;E$2&amp;"*",TestCase!$L:$L,$A4)</f>
        <v>0</v>
      </c>
      <c r="F4" s="34">
        <f>COUNTIFS(TestCase!$I:$I,"*"&amp;F$2&amp;"*",TestCase!$L:$L,$A4)</f>
        <v>3</v>
      </c>
      <c r="G4" s="34">
        <f>COUNTIFS(TestCase!$I:$I,"*"&amp;G$2&amp;"*",TestCase!$L:$L,$A4)</f>
        <v>0</v>
      </c>
      <c r="H4" s="34">
        <f>COUNTIFS(TestCase!$I:$I,"*"&amp;H$2&amp;"*",TestCase!$L:$L,$A4)</f>
        <v>0</v>
      </c>
      <c r="I4" s="37">
        <f t="shared" ref="I4:I5" si="3">SUM(D4:H4)</f>
        <v>118</v>
      </c>
      <c r="J4" s="36">
        <f t="shared" si="2"/>
        <v>1</v>
      </c>
    </row>
    <row r="5" ht="12.75" customHeight="1">
      <c r="A5" s="33" t="s">
        <v>261</v>
      </c>
      <c r="B5" s="34">
        <f>COUNTIF(TestCase!L:L,A5)</f>
        <v>48</v>
      </c>
      <c r="C5" s="35">
        <f t="shared" si="1"/>
        <v>0.262295082</v>
      </c>
      <c r="D5" s="34">
        <f>COUNTIFS(TestCase!$I:$I,"*"&amp;D$2&amp;"*",TestCase!$L:$L,$A5)</f>
        <v>48</v>
      </c>
      <c r="E5" s="34">
        <f>COUNTIFS(TestCase!$I:$I,"*"&amp;E$2&amp;"*",TestCase!$L:$L,$A5)</f>
        <v>0</v>
      </c>
      <c r="F5" s="34">
        <f>COUNTIFS(TestCase!$I:$I,"*"&amp;F$2&amp;"*",TestCase!$L:$L,$A5)</f>
        <v>0</v>
      </c>
      <c r="G5" s="34">
        <f>COUNTIFS(TestCase!$I:$I,"*"&amp;G$2&amp;"*",TestCase!$L:$L,$A5)</f>
        <v>0</v>
      </c>
      <c r="H5" s="34">
        <f>COUNTIFS(TestCase!$I:$I,"*"&amp;H$2&amp;"*",TestCase!$L:$L,$A5)</f>
        <v>0</v>
      </c>
      <c r="I5" s="37">
        <f t="shared" si="3"/>
        <v>48</v>
      </c>
      <c r="J5" s="36">
        <f t="shared" si="2"/>
        <v>1</v>
      </c>
    </row>
    <row r="6" ht="12.75" customHeight="1">
      <c r="A6" s="38" t="s">
        <v>395</v>
      </c>
      <c r="B6" s="38">
        <f t="shared" ref="B6:I6" si="4">SUM(B3:B5)</f>
        <v>183</v>
      </c>
      <c r="C6" s="39">
        <f t="shared" si="4"/>
        <v>1</v>
      </c>
      <c r="D6" s="37">
        <f t="shared" si="4"/>
        <v>180</v>
      </c>
      <c r="E6" s="37">
        <f t="shared" si="4"/>
        <v>0</v>
      </c>
      <c r="F6" s="37">
        <f t="shared" si="4"/>
        <v>3</v>
      </c>
      <c r="G6" s="37">
        <f t="shared" si="4"/>
        <v>0</v>
      </c>
      <c r="H6" s="37">
        <f t="shared" si="4"/>
        <v>0</v>
      </c>
      <c r="I6" s="37">
        <f t="shared" si="4"/>
        <v>166</v>
      </c>
      <c r="J6" s="37"/>
    </row>
    <row r="7" ht="12.75" customHeight="1">
      <c r="A7" s="38" t="s">
        <v>396</v>
      </c>
      <c r="B7" s="38"/>
      <c r="C7" s="38"/>
      <c r="D7" s="36">
        <f t="shared" ref="D7:I7" si="5">D6/$B6</f>
        <v>0.9836065574</v>
      </c>
      <c r="E7" s="36">
        <f t="shared" si="5"/>
        <v>0</v>
      </c>
      <c r="F7" s="36">
        <f t="shared" si="5"/>
        <v>0.01639344262</v>
      </c>
      <c r="G7" s="36">
        <f t="shared" si="5"/>
        <v>0</v>
      </c>
      <c r="H7" s="36">
        <f t="shared" si="5"/>
        <v>0</v>
      </c>
      <c r="I7" s="36">
        <f t="shared" si="5"/>
        <v>0.9071038251</v>
      </c>
      <c r="J7" s="37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2025-09-15T15:28:01Z</dcterms:created>
  <dc:creator>허준</dc:creator>
</cp:coreProperties>
</file>