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TestCase!$B$1:$K$1</definedName>
  </definedNames>
  <calcPr/>
  <extLst>
    <ext uri="GoogleSheetsCustomDataVersion2">
      <go:sheetsCustomData xmlns:go="http://customooxmlschemas.google.com/" r:id="rId6" roundtripDataChecksum="0J9ug734Nxv6GJvkvWTBgjt8a3HA1TVL+TvZR4OonH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ID#AAABs7L1S7Q
    (2025-10-14 05:03:27)
모듈단위 분류</t>
      </text>
    </comment>
    <comment authorId="0" ref="E1">
      <text>
        <t xml:space="preserve">======
ID#AAABs7L1S7U
    (2025-10-14 05:03:27)
사용자가 케이스의 내용을 빠르게 파악할 수 있도록 요약함</t>
      </text>
    </comment>
    <comment authorId="0" ref="C1">
      <text>
        <t xml:space="preserve">======
ID#AAABs7L1S7E
    (2025-10-14 05:03:27)
모듈의 집합을 알기 쉽도록 명칭</t>
      </text>
    </comment>
    <comment authorId="0" ref="H1">
      <text>
        <t xml:space="preserve">======
ID#AAABs7L1S7I
    (2025-10-14 05:03:27)
실행 순서에 대해 기대되는 결과를 입력</t>
      </text>
    </comment>
    <comment authorId="0" ref="J1">
      <text>
        <t xml:space="preserve">======
ID#AAABs7L1S7M
    (2025-10-14 05:03:27)
실제로 실행 순서를 실행한 결과를 입력</t>
      </text>
    </comment>
    <comment authorId="0" ref="F1">
      <text>
        <t xml:space="preserve">======
ID#AAABs7L1S7A
    (2025-10-14 05:03:27)
실행방법 실행전 충족되야하는 조건</t>
      </text>
    </comment>
    <comment authorId="0" ref="G1">
      <text>
        <t xml:space="preserve">======
ID#AAABs7L1S64
    (2025-10-14 05:03:27)
해당 케이스의 직접적인 실행 순서를 작성</t>
      </text>
    </comment>
    <comment authorId="0" ref="A1">
      <text>
        <t xml:space="preserve">======
ID#AAABs7L1S68
    (2025-10-14 05:03:27)
케이스 번호, 카운트 용도</t>
      </text>
    </comment>
    <comment authorId="0" ref="B1">
      <text>
        <t xml:space="preserve">======
ID#AAABs7L1S60
    (2025-10-14 05:03:27)
프로그램의 가장 큰단위로 나눌 수 있는 시스템 범주</t>
      </text>
    </comment>
  </commentList>
  <extLst>
    <ext uri="GoogleSheetsCustomDataVersion2">
      <go:sheetsCustomData xmlns:go="http://customooxmlschemas.google.com/" r:id="rId1" roundtripDataSignature="AMtx7mgZId8hfyqAYikr+K6+qJRmne/A5g=="/>
    </ext>
  </extLst>
</comments>
</file>

<file path=xl/sharedStrings.xml><?xml version="1.0" encoding="utf-8"?>
<sst xmlns="http://schemas.openxmlformats.org/spreadsheetml/2006/main" count="212" uniqueCount="159">
  <si>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</si>
  <si>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</si>
  <si>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</si>
  <si>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</si>
  <si>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</si>
  <si>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</si>
  <si>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</si>
  <si>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</si>
  <si>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</si>
  <si>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</si>
  <si>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</si>
  <si>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</si>
  <si>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
실행</t>
  </si>
  <si>
    <t>실행</t>
  </si>
  <si>
    <t>게임 실행</t>
  </si>
  <si>
    <t>클라이언트를 실행한다</t>
  </si>
  <si>
    <t>인게임
시작 전</t>
  </si>
  <si>
    <t>1. "SpaceAttack.exe" 파일 실행</t>
  </si>
  <si>
    <t>Rovoid가 실행될 것으로 예상된다</t>
  </si>
  <si>
    <t>Pass</t>
  </si>
  <si>
    <t>정상적으로 'Rovoid'가 실행됨</t>
  </si>
  <si>
    <t>게임실행</t>
  </si>
  <si>
    <t>윈도우</t>
  </si>
  <si>
    <t>최소화</t>
  </si>
  <si>
    <t>창을 최소화 한다</t>
  </si>
  <si>
    <t>1. 우측 상단 최소화 버튼 클릭</t>
  </si>
  <si>
    <t>창이 최소화 될 것으로 예상된다</t>
  </si>
  <si>
    <t>정상적으로 최소화가 실행됨</t>
  </si>
  <si>
    <t>닫기</t>
  </si>
  <si>
    <t>윈도우를 닫는다</t>
  </si>
  <si>
    <t>1. 우측 상단 X 버튼 클릭</t>
  </si>
  <si>
    <t>창이 꺼지며 게임이 종료될 것으로 예상된다</t>
  </si>
  <si>
    <t>정상적으로 게임이 종료됨</t>
  </si>
  <si>
    <t>인게임기능</t>
  </si>
  <si>
    <t>HUD</t>
  </si>
  <si>
    <t>체력 바</t>
  </si>
  <si>
    <t>데미지를 받았을 때 체력이 -1씩 감소한다</t>
  </si>
  <si>
    <t>인게임
시작 후</t>
  </si>
  <si>
    <t>1. 몬스터와의 전투 시작 시 플레이어는 제자리에 가만히 있는다
2. 몬스터가 플레이어를 공격 시 플레이어의 체력이 -1씩 감소하는지 좌측 상단의 체력 UI에서 상태를 확인한다</t>
  </si>
  <si>
    <t>플레이어의 체력이 -1 감소할 것으로 예상된다</t>
  </si>
  <si>
    <t>플레이어의 체력 -1 감소됨</t>
  </si>
  <si>
    <t>몬스터 처치 후 힐을 받았을 때 체력 반을 회복한다</t>
  </si>
  <si>
    <t>1. 스테이지에 생성된 몬스터를 처치한다
2. 몬스터가 사망 후 플레이어의 체력(힐) 아이콘을 드롭하는지 확인한다
3. 플레이어가 체력(힐) 아이콘을 지급 시 좌측 상단 체력 UI에서 체력 반이 회복되는지 확인한다</t>
  </si>
  <si>
    <t>플레이어가 체력 반을 회복할 것으로 예상된다</t>
  </si>
  <si>
    <t>플레이어의 체력 반 회복됨</t>
  </si>
  <si>
    <t>몬스터 공격 및 처치</t>
  </si>
  <si>
    <t>마우스 왼쪽을 클릭한다</t>
  </si>
  <si>
    <t>1. 마우스 왼쪽을 클릭
2. 몬스터에게 데미지가 들어가는지 확인한다</t>
  </si>
  <si>
    <t>몬스터에게 +5씩 데미지가 들어갈 것으로 예상된다</t>
  </si>
  <si>
    <t>몬스터에게 +5씩 데미지가 들어감</t>
  </si>
  <si>
    <t xml:space="preserve">웨이브 </t>
  </si>
  <si>
    <t>스테이지에 생성된 5마리 몬스터를 처치한다</t>
  </si>
  <si>
    <t>1. 스테이지에 생성된 5마리의 몬스터를 모두 처치한다
2. 우측 상단에 웨이브 진입 카운트 다운(10초) 텍스트가 뜨는지 확인한다</t>
  </si>
  <si>
    <t>10초 간의 웨이브에 진입될 것으로 예상된다</t>
  </si>
  <si>
    <t>10초 간의 웨이브에 진입함</t>
  </si>
  <si>
    <t>일시중지</t>
  </si>
  <si>
    <t>인게임 도중 설정 메뉴로 진입한다</t>
  </si>
  <si>
    <t>1. 게임 실행 도중 ESC 키를 클릭한다
2. 일시중지 메뉴가 뜨는지 확인한다</t>
  </si>
  <si>
    <t>일시중지 메뉴가 출력될 것으로 예상된다</t>
  </si>
  <si>
    <t>일시중지 메뉴가 출력됨</t>
  </si>
  <si>
    <t>Resume 버튼을 클릭한다</t>
  </si>
  <si>
    <t>1. Resume 버튼을 클릭한다
2. 원래 플레이 중인 게임 화면으로 이동되는지 확인한다</t>
  </si>
  <si>
    <t>원래 플레이 중인 게임 화면으로 이동될 것으로 예상된다</t>
  </si>
  <si>
    <t>원래 플레이 중인 게임 화면으로 이동됨</t>
  </si>
  <si>
    <t>NewGame 버튼을 클릭한다</t>
  </si>
  <si>
    <t>1. NewGame 버튼을 클릭한다
2. 새 게임이 실행되는지 확인한다</t>
  </si>
  <si>
    <t>새 게임이 실행될 것으로 예상된다</t>
  </si>
  <si>
    <t>Fail</t>
  </si>
  <si>
    <t>새 게임 실행은 아직 미구현 상태</t>
  </si>
  <si>
    <t>ArchiveMent 버튼을 클릭한다</t>
  </si>
  <si>
    <t>1. ArchiveMent 버튼을 클릭한다
2. 메뉴로 이동되는지 확인한다</t>
  </si>
  <si>
    <t>ArchiveMent가 실행될 것으로 예상된다</t>
  </si>
  <si>
    <t>ArchiveMent도 아직 미구현 상태</t>
  </si>
  <si>
    <t>Help 버튼을 클릭한다</t>
  </si>
  <si>
    <t>1. Help 버튼을 클릭한다
2. 도움말 메뉴가 뜨는지 확인한다</t>
  </si>
  <si>
    <t>도움말 메뉴가 뜰 것으로 예상된다</t>
  </si>
  <si>
    <t>도움말도 아직 미구현 상태</t>
  </si>
  <si>
    <t>Setting 버튼을 클릭한다</t>
  </si>
  <si>
    <t>1. Setting 버튼을 클릭한다
2. 설정 메뉴가 뜨는지 확인한다</t>
  </si>
  <si>
    <t>설정 메뉴가 출력될 것으로 예상된다</t>
  </si>
  <si>
    <t>설정 메뉴가 정상적으로 출력됨</t>
  </si>
  <si>
    <t>Exit 버튼을 클릭한다</t>
  </si>
  <si>
    <t>1. Exit 버튼을 클릭한다
2. 게임이 종료되는지 확인한다</t>
  </si>
  <si>
    <t>게임이 정상적으로 종료될 것으로 예상된다</t>
  </si>
  <si>
    <t>게임이 정상적으로 종료됨</t>
  </si>
  <si>
    <t>플레이어 이동</t>
  </si>
  <si>
    <t>앞으로 이동</t>
  </si>
  <si>
    <t>W 키를 누르면 캐릭터가 앞으로 전진한다</t>
  </si>
  <si>
    <t>1. W 키 클릭
2. 캐릭터가 앞으로 이동하는지 확인한다</t>
  </si>
  <si>
    <t>캐릭터가 앞으로 이동할 것으로 예상된다</t>
  </si>
  <si>
    <t>캐릭터가 앞으로 이동함</t>
  </si>
  <si>
    <t>왼쪽으로 이동</t>
  </si>
  <si>
    <t>A 키를 누르면 캐릭터가 왼쪽으로 이동한다</t>
  </si>
  <si>
    <t>1. A 키 클릭
2. 캐릭터가 왼쪽으로 이동하는지 확인한다</t>
  </si>
  <si>
    <t>캐릭터가 왼쪽으로 이동할 것으로 예상된다</t>
  </si>
  <si>
    <t>캐릭터가 왼쪽으로 이동함</t>
  </si>
  <si>
    <t>오른쪽으로 이동</t>
  </si>
  <si>
    <t>D 키를 누르면 캐릭터가 오른쪽으로 이동한다</t>
  </si>
  <si>
    <t>1. D 키 클릭
2. 캐릭터가 오른쪽으로 이동하는지 확인한다</t>
  </si>
  <si>
    <t>캐릭터가 오른쪽으로 이동할 것으로 예상된다</t>
  </si>
  <si>
    <t>캐릭터가 오른쪽으로 이동함</t>
  </si>
  <si>
    <t>뒤로 이동</t>
  </si>
  <si>
    <t>S 키를 누르면 캐릭터가 뒤로 후진한다</t>
  </si>
  <si>
    <t>1. S 키 클릭
2. 캐릭터가 뒤으로 이동하는지 확인한다</t>
  </si>
  <si>
    <t>캐릭터가 뒤로 이동할 것으로 예상된다</t>
  </si>
  <si>
    <t>캐릭터가 뒤로 이동함</t>
  </si>
  <si>
    <t>대쉬</t>
  </si>
  <si>
    <t>Space 키를 누르면 캐릭터가 대쉬한다</t>
  </si>
  <si>
    <t>1. Space 키를 클릭
2. 플레이어가 대쉬하는지 확인한다</t>
  </si>
  <si>
    <t>캐릭터가 대쉬할 것으로 예상된다</t>
  </si>
  <si>
    <t>캐릭터가 대쉬함</t>
  </si>
  <si>
    <t>스킬</t>
  </si>
  <si>
    <t>스킬 선택</t>
  </si>
  <si>
    <t>스테이지의 보라색 스킬 선택 바에서 F 키를 누른다</t>
  </si>
  <si>
    <t>1. 플레이어가 스테이지에서 W, A, S, D 키를 활용하여 보라색 스킬 선택 바가 있는 곳으로 이동한다
2. 보라색 스킬 선택 바에서 F 키를 클릭한다
3. 전체 6개의 칩셋 중 2개의 잠금해제된 칩셋에서 스킬 1개를 선택한다
4. 'SELECT'를 클릭한다</t>
  </si>
  <si>
    <t>스킬 1 OR 스킬 2가 선택될 것으로 예상된다</t>
  </si>
  <si>
    <t>스킬이 선택됨</t>
  </si>
  <si>
    <t>칩셋 1 (Chipst_Warrior)</t>
  </si>
  <si>
    <t>This is Warriors BaseAttack를 클릭한다 (1)</t>
  </si>
  <si>
    <t>1. 칩셋 1 (Chipst_Warrior)을 선택한다
2. This is Warriors BaseAttack를 클릭한다</t>
  </si>
  <si>
    <t>스킬이 작동할 것으로 예상된다</t>
  </si>
  <si>
    <t>This is Warriors StingSkill을 클릭한다 (2)</t>
  </si>
  <si>
    <t>1. 칩셋 1 (Chipst_Warrior)을 선택한다
2. This is Warriors StingSkill을 클릭한다</t>
  </si>
  <si>
    <t>아직 미구현 상태임</t>
  </si>
  <si>
    <t>This is Warriors BeheadingSkill을 클릭한다 (3)</t>
  </si>
  <si>
    <t>1. 칩셋 1 (Chipst_Warrior)을 선택한다
2. This is Warriors BeheadingSkill을 클릭한다</t>
  </si>
  <si>
    <t>This is Warriors CoreActivationSkill을 클릭한다 (4)</t>
  </si>
  <si>
    <t xml:space="preserve">1. 칩셋 1 (Chipst_Warrior)을 선택한다
2. This is Warriors CoreActivationSkill을 클릭한다 </t>
  </si>
  <si>
    <t>칩셋 2 (Chipset_Archer)</t>
  </si>
  <si>
    <t>This is Archers BaseAttack를 클릭한다 (1)</t>
  </si>
  <si>
    <t>1. 칩셋 2 (Chipset_Archer)를 선택한다
2. This is Archers BaseAttack를 클릭한다</t>
  </si>
  <si>
    <t>This is Archers BigArrowSkill을 클릭한다 (2)</t>
  </si>
  <si>
    <t>1. 칩셋 2 (Chipset_Archer)를 선택한다
2. This is Archers BigArrowSkill을 클릭한다</t>
  </si>
  <si>
    <t>This is Archers ConsentratedFireSkill을 클릭한다 (3)</t>
  </si>
  <si>
    <t>1. 칩셋 2 (Chipset_Archer)를 선택한다
2. This is Archers ConsentratedFireSkill을 클릭한다</t>
  </si>
  <si>
    <t>This is Archers _ChargingShitSkill을 클릭한다 (4)</t>
  </si>
  <si>
    <t>1. 칩셋 2 (Chipset_Archer)를 선택한다
2. This is Archers _ChargingShitSkill을 클릭한다</t>
  </si>
  <si>
    <t>스킬 1</t>
  </si>
  <si>
    <t>Q 키를 누르면 스킬 1을 실행한다</t>
  </si>
  <si>
    <t>1. Q 키 클릭
2. 스킬 1이 실행되는지 확인한다</t>
  </si>
  <si>
    <t>스킬 1이 실행될 것으로 예상된다</t>
  </si>
  <si>
    <t>스킬 2</t>
  </si>
  <si>
    <t>E 키를 누르면 스킬 2를 실행한다</t>
  </si>
  <si>
    <t>1. E 키 클릭
2. 스킬 2가 실행되는지 확인한다</t>
  </si>
  <si>
    <t>스킬 2가 실행될 것으로 예상된다</t>
  </si>
  <si>
    <t>스킬 3</t>
  </si>
  <si>
    <t>R 키를 누르면 스킬 3을 실행한다</t>
  </si>
  <si>
    <t>1. R 키 클릭
2. 스킬 3이 실행되는지 확인한다</t>
  </si>
  <si>
    <t>스킬 3이 실행될 것으로 예상된다</t>
  </si>
  <si>
    <t>테스트케이스 현황</t>
  </si>
  <si>
    <t>분류</t>
  </si>
  <si>
    <t>개수</t>
  </si>
  <si>
    <t>비율</t>
  </si>
  <si>
    <t>N/A</t>
  </si>
  <si>
    <t>Block</t>
  </si>
  <si>
    <t>N/T</t>
  </si>
  <si>
    <t>Total</t>
  </si>
  <si>
    <t>Total(%)</t>
  </si>
  <si>
    <t>메뉴기능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</si>
</sst>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b/>
      <sz val="12.0"/>
      <color theme="1"/>
      <name val="Verdana"/>
    </font>
    <font>
      <sz val="10.0"/>
      <color theme="1"/>
      <name val="Verdana"/>
    </font>
    <font>
      <sz val="10.0"/>
      <color rgb="FFFFFFFF"/>
      <name val="Verdana"/>
    </font>
    <font>
      <sz val="10.0"/>
      <color theme="1"/>
      <name val="Aptos Narrow"/>
    </font>
    <font/>
    <font>
      <sz val="10.0"/>
      <color theme="1"/>
      <name val="Arial"/>
    </font>
    <font>
      <color theme="1"/>
      <name val="Arial"/>
    </font>
    <font>
      <color theme="1"/>
      <name val="Aptos Narrow"/>
    </font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4" fillId="0" fontId="5" numFmtId="0" xfId="0" applyAlignment="1" applyBorder="1" applyFont="1">
      <alignment shrinkToFit="0" wrapText="1"/>
    </xf>
    <xf borderId="2" fillId="0" fontId="2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shrinkToFit="0" wrapText="1"/>
    </xf>
    <xf borderId="2" fillId="0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wrapText="1"/>
    </xf>
    <xf borderId="2" fillId="0" fontId="7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6" fillId="4" fontId="10" numFmtId="0" xfId="0" applyAlignment="1" applyBorder="1" applyFill="1" applyFont="1">
      <alignment shrinkToFit="0" wrapText="1"/>
    </xf>
    <xf borderId="6" fillId="5" fontId="11" numFmtId="0" xfId="0" applyAlignment="1" applyBorder="1" applyFill="1" applyFont="1">
      <alignment shrinkToFit="0" wrapText="1"/>
    </xf>
    <xf borderId="0" fillId="0" fontId="11" numFmtId="0" xfId="0" applyAlignment="1" applyFont="1">
      <alignment shrinkToFit="0" wrapText="1"/>
    </xf>
    <xf borderId="0" fillId="0" fontId="11" numFmtId="9" xfId="0" applyAlignment="1" applyFont="1" applyNumberFormat="1">
      <alignment shrinkToFit="0" wrapText="1"/>
    </xf>
    <xf borderId="6" fillId="6" fontId="11" numFmtId="9" xfId="0" applyAlignment="1" applyBorder="1" applyFill="1" applyFont="1" applyNumberFormat="1">
      <alignment shrinkToFit="0" wrapText="1"/>
    </xf>
    <xf borderId="6" fillId="6" fontId="11" numFmtId="0" xfId="0" applyAlignment="1" applyBorder="1" applyFont="1">
      <alignment shrinkToFit="0" wrapText="1"/>
    </xf>
    <xf borderId="6" fillId="7" fontId="11" numFmtId="0" xfId="0" applyAlignment="1" applyBorder="1" applyFill="1" applyFont="1">
      <alignment shrinkToFit="0" wrapText="1"/>
    </xf>
    <xf borderId="6" fillId="7" fontId="11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3" width="12.57"/>
    <col customWidth="1" min="4" max="4" width="19.14"/>
    <col customWidth="1" min="5" max="5" width="46.57"/>
    <col customWidth="1" min="6" max="6" width="12.57"/>
    <col customWidth="1" min="7" max="7" width="62.57"/>
    <col customWidth="1" min="8" max="8" width="36.29"/>
    <col customWidth="1" min="9" max="9" width="12.14"/>
    <col customWidth="1" min="10" max="10" width="17.14"/>
    <col customWidth="1" min="11" max="11" width="11.29"/>
    <col customWidth="1" min="12" max="12" width="20.14"/>
    <col customWidth="1" min="13" max="26" width="12.57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7.5" customHeight="1">
      <c r="A2" s="2">
        <f t="shared" ref="A2:A32" si="1">ROW()-2</f>
        <v>0</v>
      </c>
      <c r="B2" s="3" t="s">
        <v>12</v>
      </c>
      <c r="C2" s="2" t="s">
        <v>13</v>
      </c>
      <c r="D2" s="2" t="s">
        <v>14</v>
      </c>
      <c r="E2" s="4" t="s">
        <v>15</v>
      </c>
      <c r="F2" s="3" t="s">
        <v>16</v>
      </c>
      <c r="G2" s="4" t="s">
        <v>17</v>
      </c>
      <c r="H2" s="4" t="s">
        <v>18</v>
      </c>
      <c r="I2" s="5" t="s">
        <v>19</v>
      </c>
      <c r="J2" s="4" t="s">
        <v>20</v>
      </c>
      <c r="K2" s="4"/>
      <c r="L2" s="2" t="s">
        <v>21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7.5" customHeight="1">
      <c r="A3" s="2">
        <f t="shared" si="1"/>
        <v>1</v>
      </c>
      <c r="B3" s="7"/>
      <c r="C3" s="3" t="s">
        <v>22</v>
      </c>
      <c r="D3" s="2" t="s">
        <v>23</v>
      </c>
      <c r="E3" s="8" t="s">
        <v>24</v>
      </c>
      <c r="F3" s="7"/>
      <c r="G3" s="4" t="s">
        <v>25</v>
      </c>
      <c r="H3" s="4" t="s">
        <v>26</v>
      </c>
      <c r="I3" s="5" t="s">
        <v>19</v>
      </c>
      <c r="J3" s="8" t="s">
        <v>27</v>
      </c>
      <c r="K3" s="8"/>
      <c r="L3" s="2" t="str">
        <f t="shared" ref="L3:L4" si="2">IF(B3="",L2,B3)</f>
        <v>게임실행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7.5" customHeight="1">
      <c r="A4" s="2">
        <f t="shared" si="1"/>
        <v>2</v>
      </c>
      <c r="B4" s="9"/>
      <c r="C4" s="9"/>
      <c r="D4" s="2" t="s">
        <v>28</v>
      </c>
      <c r="E4" s="8" t="s">
        <v>29</v>
      </c>
      <c r="F4" s="9"/>
      <c r="G4" s="8" t="s">
        <v>30</v>
      </c>
      <c r="H4" s="8" t="s">
        <v>31</v>
      </c>
      <c r="I4" s="5" t="s">
        <v>19</v>
      </c>
      <c r="J4" s="8" t="s">
        <v>32</v>
      </c>
      <c r="K4" s="8"/>
      <c r="L4" s="2" t="str">
        <f t="shared" si="2"/>
        <v>게임실행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7.5" customHeight="1">
      <c r="A5" s="2">
        <f t="shared" si="1"/>
        <v>3</v>
      </c>
      <c r="B5" s="3" t="s">
        <v>33</v>
      </c>
      <c r="C5" s="3" t="s">
        <v>34</v>
      </c>
      <c r="D5" s="3" t="s">
        <v>35</v>
      </c>
      <c r="E5" s="8" t="s">
        <v>36</v>
      </c>
      <c r="F5" s="3" t="s">
        <v>37</v>
      </c>
      <c r="G5" s="8" t="s">
        <v>38</v>
      </c>
      <c r="H5" s="8" t="s">
        <v>39</v>
      </c>
      <c r="I5" s="5" t="s">
        <v>19</v>
      </c>
      <c r="J5" s="8" t="s">
        <v>40</v>
      </c>
      <c r="K5" s="8"/>
      <c r="L5" s="2" t="s">
        <v>33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">
        <f t="shared" si="1"/>
        <v>4</v>
      </c>
      <c r="B6" s="7"/>
      <c r="C6" s="7"/>
      <c r="D6" s="9"/>
      <c r="E6" s="8" t="s">
        <v>41</v>
      </c>
      <c r="F6" s="7"/>
      <c r="G6" s="8" t="s">
        <v>42</v>
      </c>
      <c r="H6" s="8" t="s">
        <v>43</v>
      </c>
      <c r="I6" s="5" t="s">
        <v>19</v>
      </c>
      <c r="J6" s="8" t="s">
        <v>44</v>
      </c>
      <c r="K6" s="8"/>
      <c r="L6" s="2" t="str">
        <f t="shared" ref="L6:L15" si="3">IF(B6="",L5,B6)</f>
        <v>인게임기능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7.5" customHeight="1">
      <c r="A7" s="2">
        <f t="shared" si="1"/>
        <v>5</v>
      </c>
      <c r="B7" s="7"/>
      <c r="C7" s="7"/>
      <c r="D7" s="2" t="s">
        <v>45</v>
      </c>
      <c r="E7" s="8" t="s">
        <v>46</v>
      </c>
      <c r="F7" s="7"/>
      <c r="G7" s="8" t="s">
        <v>47</v>
      </c>
      <c r="H7" s="8" t="s">
        <v>48</v>
      </c>
      <c r="I7" s="5" t="s">
        <v>19</v>
      </c>
      <c r="J7" s="8" t="s">
        <v>49</v>
      </c>
      <c r="K7" s="8"/>
      <c r="L7" s="2" t="str">
        <f t="shared" si="3"/>
        <v>인게임기능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7.5" customHeight="1">
      <c r="A8" s="2">
        <f t="shared" si="1"/>
        <v>6</v>
      </c>
      <c r="B8" s="7"/>
      <c r="C8" s="7"/>
      <c r="D8" s="2" t="s">
        <v>50</v>
      </c>
      <c r="E8" s="8" t="s">
        <v>51</v>
      </c>
      <c r="F8" s="7"/>
      <c r="G8" s="8" t="s">
        <v>52</v>
      </c>
      <c r="H8" s="8" t="s">
        <v>53</v>
      </c>
      <c r="I8" s="5" t="s">
        <v>19</v>
      </c>
      <c r="J8" s="8" t="s">
        <v>54</v>
      </c>
      <c r="K8" s="8"/>
      <c r="L8" s="2" t="str">
        <f t="shared" si="3"/>
        <v>인게임기능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7.5" customHeight="1">
      <c r="A9" s="2">
        <f t="shared" si="1"/>
        <v>7</v>
      </c>
      <c r="B9" s="7"/>
      <c r="C9" s="7"/>
      <c r="D9" s="3" t="s">
        <v>55</v>
      </c>
      <c r="E9" s="8" t="s">
        <v>56</v>
      </c>
      <c r="F9" s="7"/>
      <c r="G9" s="8" t="s">
        <v>57</v>
      </c>
      <c r="H9" s="8" t="s">
        <v>58</v>
      </c>
      <c r="I9" s="5" t="s">
        <v>19</v>
      </c>
      <c r="J9" s="8" t="s">
        <v>59</v>
      </c>
      <c r="K9" s="8"/>
      <c r="L9" s="2" t="str">
        <f t="shared" si="3"/>
        <v>인게임기능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7.5" customHeight="1">
      <c r="A10" s="2">
        <f t="shared" si="1"/>
        <v>8</v>
      </c>
      <c r="B10" s="7"/>
      <c r="C10" s="7"/>
      <c r="D10" s="7"/>
      <c r="E10" s="8" t="s">
        <v>60</v>
      </c>
      <c r="F10" s="7"/>
      <c r="G10" s="8" t="s">
        <v>61</v>
      </c>
      <c r="H10" s="8" t="s">
        <v>62</v>
      </c>
      <c r="I10" s="5" t="s">
        <v>19</v>
      </c>
      <c r="J10" s="8" t="s">
        <v>63</v>
      </c>
      <c r="K10" s="8"/>
      <c r="L10" s="2" t="str">
        <f t="shared" si="3"/>
        <v>인게임기능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7.5" customHeight="1">
      <c r="A11" s="2">
        <f t="shared" si="1"/>
        <v>9</v>
      </c>
      <c r="B11" s="7"/>
      <c r="C11" s="7"/>
      <c r="D11" s="7"/>
      <c r="E11" s="8" t="s">
        <v>64</v>
      </c>
      <c r="F11" s="7"/>
      <c r="G11" s="8" t="s">
        <v>65</v>
      </c>
      <c r="H11" s="8" t="s">
        <v>66</v>
      </c>
      <c r="I11" s="5" t="s">
        <v>67</v>
      </c>
      <c r="J11" s="8" t="s">
        <v>68</v>
      </c>
      <c r="K11" s="8"/>
      <c r="L11" s="2" t="str">
        <f t="shared" si="3"/>
        <v>인게임기능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7.5" customHeight="1">
      <c r="A12" s="2">
        <f t="shared" si="1"/>
        <v>10</v>
      </c>
      <c r="B12" s="7"/>
      <c r="C12" s="7"/>
      <c r="D12" s="7"/>
      <c r="E12" s="8" t="s">
        <v>69</v>
      </c>
      <c r="F12" s="7"/>
      <c r="G12" s="8" t="s">
        <v>70</v>
      </c>
      <c r="H12" s="8" t="s">
        <v>71</v>
      </c>
      <c r="I12" s="5" t="s">
        <v>67</v>
      </c>
      <c r="J12" s="8" t="s">
        <v>72</v>
      </c>
      <c r="K12" s="8"/>
      <c r="L12" s="2" t="str">
        <f t="shared" si="3"/>
        <v>인게임기능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7.5" customHeight="1">
      <c r="A13" s="2">
        <f t="shared" si="1"/>
        <v>11</v>
      </c>
      <c r="B13" s="7"/>
      <c r="C13" s="7"/>
      <c r="D13" s="7"/>
      <c r="E13" s="8" t="s">
        <v>73</v>
      </c>
      <c r="F13" s="7"/>
      <c r="G13" s="8" t="s">
        <v>74</v>
      </c>
      <c r="H13" s="8" t="s">
        <v>75</v>
      </c>
      <c r="I13" s="5" t="s">
        <v>67</v>
      </c>
      <c r="J13" s="8" t="s">
        <v>76</v>
      </c>
      <c r="K13" s="8"/>
      <c r="L13" s="2" t="str">
        <f t="shared" si="3"/>
        <v>인게임기능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7.5" customHeight="1">
      <c r="A14" s="2">
        <f t="shared" si="1"/>
        <v>12</v>
      </c>
      <c r="B14" s="7"/>
      <c r="C14" s="7"/>
      <c r="D14" s="7"/>
      <c r="E14" s="10" t="s">
        <v>77</v>
      </c>
      <c r="F14" s="7"/>
      <c r="G14" s="10" t="s">
        <v>78</v>
      </c>
      <c r="H14" s="10" t="s">
        <v>79</v>
      </c>
      <c r="I14" s="5" t="s">
        <v>19</v>
      </c>
      <c r="J14" s="11" t="s">
        <v>80</v>
      </c>
      <c r="K14" s="12"/>
      <c r="L14" s="2" t="str">
        <f t="shared" si="3"/>
        <v>인게임기능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7.5" customHeight="1">
      <c r="A15" s="2">
        <f t="shared" si="1"/>
        <v>13</v>
      </c>
      <c r="B15" s="7"/>
      <c r="C15" s="9"/>
      <c r="D15" s="9"/>
      <c r="E15" s="11" t="s">
        <v>81</v>
      </c>
      <c r="F15" s="7"/>
      <c r="G15" s="11" t="s">
        <v>82</v>
      </c>
      <c r="H15" s="10" t="s">
        <v>83</v>
      </c>
      <c r="I15" s="5" t="s">
        <v>19</v>
      </c>
      <c r="J15" s="11" t="s">
        <v>84</v>
      </c>
      <c r="K15" s="12"/>
      <c r="L15" s="2" t="str">
        <f t="shared" si="3"/>
        <v>인게임기능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7.5" customHeight="1">
      <c r="A16" s="2">
        <f t="shared" si="1"/>
        <v>14</v>
      </c>
      <c r="B16" s="7"/>
      <c r="C16" s="3" t="s">
        <v>85</v>
      </c>
      <c r="D16" s="2" t="s">
        <v>86</v>
      </c>
      <c r="E16" s="4" t="s">
        <v>87</v>
      </c>
      <c r="F16" s="7"/>
      <c r="G16" s="4" t="s">
        <v>88</v>
      </c>
      <c r="H16" s="8" t="s">
        <v>89</v>
      </c>
      <c r="I16" s="5" t="s">
        <v>19</v>
      </c>
      <c r="J16" s="8" t="s">
        <v>90</v>
      </c>
      <c r="K16" s="8"/>
      <c r="L16" s="2" t="str">
        <f>IF(B14="",L13,B14)</f>
        <v>인게임기능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7.5" customHeight="1">
      <c r="A17" s="2">
        <f t="shared" si="1"/>
        <v>15</v>
      </c>
      <c r="B17" s="7"/>
      <c r="C17" s="7"/>
      <c r="D17" s="2" t="s">
        <v>91</v>
      </c>
      <c r="E17" s="4" t="s">
        <v>92</v>
      </c>
      <c r="F17" s="7"/>
      <c r="G17" s="4" t="s">
        <v>93</v>
      </c>
      <c r="H17" s="8" t="s">
        <v>94</v>
      </c>
      <c r="I17" s="5" t="s">
        <v>19</v>
      </c>
      <c r="J17" s="8" t="s">
        <v>95</v>
      </c>
      <c r="K17" s="8"/>
      <c r="L17" s="2" t="str">
        <f t="shared" ref="L17:L20" si="4">IF(B15="",L16,B15)</f>
        <v>인게임기능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7.5" customHeight="1">
      <c r="A18" s="2">
        <f t="shared" si="1"/>
        <v>16</v>
      </c>
      <c r="B18" s="7"/>
      <c r="C18" s="7"/>
      <c r="D18" s="2" t="s">
        <v>96</v>
      </c>
      <c r="E18" s="4" t="s">
        <v>97</v>
      </c>
      <c r="F18" s="7"/>
      <c r="G18" s="4" t="s">
        <v>98</v>
      </c>
      <c r="H18" s="8" t="s">
        <v>99</v>
      </c>
      <c r="I18" s="5" t="s">
        <v>19</v>
      </c>
      <c r="J18" s="8" t="s">
        <v>100</v>
      </c>
      <c r="K18" s="8"/>
      <c r="L18" s="2" t="str">
        <f t="shared" si="4"/>
        <v>인게임기능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7.5" customHeight="1">
      <c r="A19" s="2">
        <f t="shared" si="1"/>
        <v>17</v>
      </c>
      <c r="B19" s="7"/>
      <c r="C19" s="7"/>
      <c r="D19" s="2" t="s">
        <v>101</v>
      </c>
      <c r="E19" s="4" t="s">
        <v>102</v>
      </c>
      <c r="F19" s="7"/>
      <c r="G19" s="4" t="s">
        <v>103</v>
      </c>
      <c r="H19" s="8" t="s">
        <v>104</v>
      </c>
      <c r="I19" s="5" t="s">
        <v>19</v>
      </c>
      <c r="J19" s="8" t="s">
        <v>105</v>
      </c>
      <c r="K19" s="8"/>
      <c r="L19" s="2" t="str">
        <f t="shared" si="4"/>
        <v>인게임기능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7.5" customHeight="1">
      <c r="A20" s="2">
        <f t="shared" si="1"/>
        <v>18</v>
      </c>
      <c r="B20" s="7"/>
      <c r="C20" s="9"/>
      <c r="D20" s="13" t="s">
        <v>106</v>
      </c>
      <c r="E20" s="10" t="s">
        <v>107</v>
      </c>
      <c r="F20" s="7"/>
      <c r="G20" s="11" t="s">
        <v>108</v>
      </c>
      <c r="H20" s="11" t="s">
        <v>109</v>
      </c>
      <c r="I20" s="5" t="s">
        <v>19</v>
      </c>
      <c r="J20" s="11" t="s">
        <v>110</v>
      </c>
      <c r="K20" s="12"/>
      <c r="L20" s="2" t="str">
        <f t="shared" si="4"/>
        <v>인게임기능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7.5" customHeight="1">
      <c r="A21" s="2">
        <f t="shared" si="1"/>
        <v>19</v>
      </c>
      <c r="B21" s="7"/>
      <c r="C21" s="14" t="s">
        <v>111</v>
      </c>
      <c r="D21" s="15" t="s">
        <v>112</v>
      </c>
      <c r="E21" s="16" t="s">
        <v>113</v>
      </c>
      <c r="F21" s="7"/>
      <c r="G21" s="17" t="s">
        <v>114</v>
      </c>
      <c r="H21" s="16" t="s">
        <v>115</v>
      </c>
      <c r="I21" s="5" t="s">
        <v>19</v>
      </c>
      <c r="J21" s="16" t="s">
        <v>116</v>
      </c>
      <c r="K21" s="8"/>
      <c r="L21" s="2" t="str">
        <f>IF(B18="",L19,B18)</f>
        <v>인게임기능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7.5" customHeight="1">
      <c r="A22" s="2">
        <f t="shared" si="1"/>
        <v>20</v>
      </c>
      <c r="B22" s="7"/>
      <c r="C22" s="7"/>
      <c r="D22" s="14" t="s">
        <v>117</v>
      </c>
      <c r="E22" s="18" t="s">
        <v>118</v>
      </c>
      <c r="F22" s="7"/>
      <c r="G22" s="18" t="s">
        <v>119</v>
      </c>
      <c r="H22" s="18" t="s">
        <v>120</v>
      </c>
      <c r="I22" s="5" t="s">
        <v>19</v>
      </c>
      <c r="J22" s="16" t="s">
        <v>116</v>
      </c>
      <c r="K22" s="8"/>
      <c r="L22" s="2" t="str">
        <f t="shared" ref="L22:L32" si="5">IF(B19="",L21,B19)</f>
        <v>인게임기능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7.5" customHeight="1">
      <c r="A23" s="2">
        <f t="shared" si="1"/>
        <v>21</v>
      </c>
      <c r="B23" s="7"/>
      <c r="C23" s="7"/>
      <c r="D23" s="7"/>
      <c r="E23" s="18" t="s">
        <v>121</v>
      </c>
      <c r="F23" s="7"/>
      <c r="G23" s="18" t="s">
        <v>122</v>
      </c>
      <c r="H23" s="18" t="s">
        <v>120</v>
      </c>
      <c r="I23" s="5" t="s">
        <v>67</v>
      </c>
      <c r="J23" s="16" t="s">
        <v>123</v>
      </c>
      <c r="K23" s="8"/>
      <c r="L23" s="2" t="str">
        <f t="shared" si="5"/>
        <v>인게임기능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7.5" customHeight="1">
      <c r="A24" s="2">
        <f t="shared" si="1"/>
        <v>22</v>
      </c>
      <c r="B24" s="7"/>
      <c r="C24" s="7"/>
      <c r="D24" s="7"/>
      <c r="E24" s="18" t="s">
        <v>124</v>
      </c>
      <c r="F24" s="7"/>
      <c r="G24" s="18" t="s">
        <v>125</v>
      </c>
      <c r="H24" s="18" t="s">
        <v>120</v>
      </c>
      <c r="I24" s="5" t="s">
        <v>67</v>
      </c>
      <c r="J24" s="16" t="s">
        <v>123</v>
      </c>
      <c r="K24" s="19"/>
      <c r="L24" s="2" t="str">
        <f t="shared" si="5"/>
        <v>인게임기능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7.5" customHeight="1">
      <c r="A25" s="2">
        <f t="shared" si="1"/>
        <v>23</v>
      </c>
      <c r="B25" s="7"/>
      <c r="C25" s="7"/>
      <c r="D25" s="9"/>
      <c r="E25" s="18" t="s">
        <v>126</v>
      </c>
      <c r="F25" s="7"/>
      <c r="G25" s="18" t="s">
        <v>127</v>
      </c>
      <c r="H25" s="18" t="s">
        <v>120</v>
      </c>
      <c r="I25" s="5" t="s">
        <v>67</v>
      </c>
      <c r="J25" s="16" t="s">
        <v>123</v>
      </c>
      <c r="K25" s="19"/>
      <c r="L25" s="2" t="str">
        <f t="shared" si="5"/>
        <v>인게임기능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7.5" customHeight="1">
      <c r="A26" s="2">
        <f t="shared" si="1"/>
        <v>24</v>
      </c>
      <c r="B26" s="7"/>
      <c r="C26" s="7"/>
      <c r="D26" s="14" t="s">
        <v>128</v>
      </c>
      <c r="E26" s="18" t="s">
        <v>129</v>
      </c>
      <c r="F26" s="7"/>
      <c r="G26" s="18" t="s">
        <v>130</v>
      </c>
      <c r="H26" s="18" t="s">
        <v>120</v>
      </c>
      <c r="I26" s="5" t="s">
        <v>67</v>
      </c>
      <c r="J26" s="16" t="s">
        <v>123</v>
      </c>
      <c r="K26" s="19"/>
      <c r="L26" s="2" t="str">
        <f t="shared" si="5"/>
        <v>인게임기능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7.5" customHeight="1">
      <c r="A27" s="2">
        <f t="shared" si="1"/>
        <v>25</v>
      </c>
      <c r="B27" s="7"/>
      <c r="C27" s="7"/>
      <c r="D27" s="7"/>
      <c r="E27" s="18" t="s">
        <v>131</v>
      </c>
      <c r="F27" s="7"/>
      <c r="G27" s="18" t="s">
        <v>132</v>
      </c>
      <c r="H27" s="18" t="s">
        <v>120</v>
      </c>
      <c r="I27" s="5" t="s">
        <v>67</v>
      </c>
      <c r="J27" s="16" t="s">
        <v>123</v>
      </c>
      <c r="K27" s="17"/>
      <c r="L27" s="2" t="str">
        <f t="shared" si="5"/>
        <v>인게임기능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7.5" customHeight="1">
      <c r="A28" s="2">
        <f t="shared" si="1"/>
        <v>26</v>
      </c>
      <c r="B28" s="7"/>
      <c r="C28" s="7"/>
      <c r="D28" s="7"/>
      <c r="E28" s="18" t="s">
        <v>133</v>
      </c>
      <c r="F28" s="7"/>
      <c r="G28" s="18" t="s">
        <v>134</v>
      </c>
      <c r="H28" s="18" t="s">
        <v>120</v>
      </c>
      <c r="I28" s="5" t="s">
        <v>67</v>
      </c>
      <c r="J28" s="16" t="s">
        <v>123</v>
      </c>
      <c r="K28" s="19"/>
      <c r="L28" s="2" t="str">
        <f t="shared" si="5"/>
        <v>인게임기능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7.5" customHeight="1">
      <c r="A29" s="2">
        <f t="shared" si="1"/>
        <v>27</v>
      </c>
      <c r="B29" s="7"/>
      <c r="C29" s="7"/>
      <c r="D29" s="9"/>
      <c r="E29" s="18" t="s">
        <v>135</v>
      </c>
      <c r="F29" s="7"/>
      <c r="G29" s="18" t="s">
        <v>136</v>
      </c>
      <c r="H29" s="18" t="s">
        <v>120</v>
      </c>
      <c r="I29" s="5" t="s">
        <v>67</v>
      </c>
      <c r="J29" s="16" t="s">
        <v>123</v>
      </c>
      <c r="K29" s="19"/>
      <c r="L29" s="2" t="str">
        <f t="shared" si="5"/>
        <v>인게임기능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7.5" customHeight="1">
      <c r="A30" s="2">
        <f t="shared" si="1"/>
        <v>28</v>
      </c>
      <c r="B30" s="7"/>
      <c r="C30" s="7"/>
      <c r="D30" s="13" t="s">
        <v>137</v>
      </c>
      <c r="E30" s="10" t="s">
        <v>138</v>
      </c>
      <c r="F30" s="7"/>
      <c r="G30" s="11" t="s">
        <v>139</v>
      </c>
      <c r="H30" s="8" t="s">
        <v>140</v>
      </c>
      <c r="I30" s="5" t="s">
        <v>67</v>
      </c>
      <c r="J30" s="16" t="s">
        <v>123</v>
      </c>
      <c r="K30" s="19"/>
      <c r="L30" s="2" t="str">
        <f t="shared" si="5"/>
        <v>인게임기능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7.5" customHeight="1">
      <c r="A31" s="2">
        <f t="shared" si="1"/>
        <v>29</v>
      </c>
      <c r="B31" s="7"/>
      <c r="C31" s="7"/>
      <c r="D31" s="15" t="s">
        <v>141</v>
      </c>
      <c r="E31" s="10" t="s">
        <v>142</v>
      </c>
      <c r="F31" s="7"/>
      <c r="G31" s="11" t="s">
        <v>143</v>
      </c>
      <c r="H31" s="8" t="s">
        <v>144</v>
      </c>
      <c r="I31" s="5" t="s">
        <v>67</v>
      </c>
      <c r="J31" s="16" t="s">
        <v>123</v>
      </c>
      <c r="K31" s="19"/>
      <c r="L31" s="2" t="str">
        <f t="shared" si="5"/>
        <v>인게임기능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7.5" customHeight="1">
      <c r="A32" s="2">
        <f t="shared" si="1"/>
        <v>30</v>
      </c>
      <c r="B32" s="9"/>
      <c r="C32" s="9"/>
      <c r="D32" s="15" t="s">
        <v>145</v>
      </c>
      <c r="E32" s="10" t="s">
        <v>146</v>
      </c>
      <c r="F32" s="9"/>
      <c r="G32" s="11" t="s">
        <v>147</v>
      </c>
      <c r="H32" s="8" t="s">
        <v>148</v>
      </c>
      <c r="I32" s="5" t="s">
        <v>67</v>
      </c>
      <c r="J32" s="16" t="s">
        <v>123</v>
      </c>
      <c r="K32" s="19"/>
      <c r="L32" s="2" t="str">
        <f t="shared" si="5"/>
        <v>인게임기능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7.5" customHeight="1">
      <c r="M33" s="20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7.5" customHeight="1"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7.5" customHeight="1"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7.5" customHeight="1"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7.5" customHeight="1"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7.5" customHeight="1"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7.5" customHeight="1"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7.5" customHeight="1"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7.5" customHeight="1"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7.5" customHeight="1"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7.5" customHeight="1"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7.5" customHeight="1"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7.5" customHeight="1"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7.5" customHeight="1"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7.5" customHeight="1"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C5:C15"/>
    <mergeCell ref="C16:C20"/>
    <mergeCell ref="D9:D15"/>
    <mergeCell ref="D22:D25"/>
    <mergeCell ref="B2:B4"/>
    <mergeCell ref="F2:F4"/>
    <mergeCell ref="C3:C4"/>
    <mergeCell ref="B5:B32"/>
    <mergeCell ref="D5:D6"/>
    <mergeCell ref="F5:F32"/>
    <mergeCell ref="C21:C32"/>
    <mergeCell ref="D26:D29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32">
    <cfRule type="containsBlanks" dxfId="0" priority="11">
      <formula>LEN(TRIM(I1))=0</formula>
    </cfRule>
  </conditionalFormatting>
  <conditionalFormatting sqref="I1:I32">
    <cfRule type="containsText" dxfId="5" priority="12" operator="containsText" text="N/T">
      <formula>NOT(ISERROR(SEARCH(("N/T"),(I1))))</formula>
    </cfRule>
  </conditionalFormatting>
  <conditionalFormatting sqref="I2:I32">
    <cfRule type="containsText" dxfId="1" priority="13" operator="containsText" text="Pass">
      <formula>NOT(ISERROR(SEARCH(("Pass"),(I2))))</formula>
    </cfRule>
  </conditionalFormatting>
  <conditionalFormatting sqref="I2:I32">
    <cfRule type="containsText" dxfId="2" priority="14" operator="containsText" text="Fail">
      <formula>NOT(ISERROR(SEARCH(("Fail"),(I2))))</formula>
    </cfRule>
  </conditionalFormatting>
  <conditionalFormatting sqref="I2:I32">
    <cfRule type="containsText" dxfId="3" priority="15" operator="containsText" text="Block">
      <formula>NOT(ISERROR(SEARCH(("Block"),(I2))))</formula>
    </cfRule>
  </conditionalFormatting>
  <conditionalFormatting sqref="I2:I32">
    <cfRule type="containsText" dxfId="4" priority="16" operator="containsText" text="N/A">
      <formula>NOT(ISERROR(SEARCH(("N/A"),(I2))))</formula>
    </cfRule>
  </conditionalFormatting>
  <conditionalFormatting sqref="J1:L1">
    <cfRule type="containsBlanks" dxfId="0" priority="17">
      <formula>LEN(TRIM(J1))=0</formula>
    </cfRule>
  </conditionalFormatting>
  <conditionalFormatting sqref="J1:L1">
    <cfRule type="containsText" dxfId="1" priority="18" operator="containsText" text="Pass">
      <formula>NOT(ISERROR(SEARCH(("Pass"),(J1))))</formula>
    </cfRule>
  </conditionalFormatting>
  <conditionalFormatting sqref="J1:L1">
    <cfRule type="containsText" dxfId="2" priority="19" operator="containsText" text="Fail">
      <formula>NOT(ISERROR(SEARCH(("Fail"),(J1))))</formula>
    </cfRule>
  </conditionalFormatting>
  <conditionalFormatting sqref="J1:L1">
    <cfRule type="containsText" dxfId="3" priority="20" operator="containsText" text="Block">
      <formula>NOT(ISERROR(SEARCH(("Block"),(J1))))</formula>
    </cfRule>
  </conditionalFormatting>
  <conditionalFormatting sqref="J1:L1">
    <cfRule type="containsText" dxfId="4" priority="21" operator="containsText" text="N/A">
      <formula>NOT(ISERROR(SEARCH(("N/A"),(J1))))</formula>
    </cfRule>
  </conditionalFormatting>
  <conditionalFormatting sqref="J1:L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32">
      <formula1>"Pass,Fail,Block,N/A,N/T"</formula1>
    </dataValidation>
    <dataValidation type="list" allowBlank="1" showErrorMessage="1" sqref="L2:L32">
      <formula1>"게임실행,메뉴기능,인게임기능"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21" t="s">
        <v>149</v>
      </c>
    </row>
    <row r="2" ht="12.75" customHeight="1">
      <c r="A2" s="22" t="s">
        <v>150</v>
      </c>
      <c r="B2" s="22" t="s">
        <v>151</v>
      </c>
      <c r="C2" s="22" t="s">
        <v>152</v>
      </c>
      <c r="D2" s="22" t="s">
        <v>19</v>
      </c>
      <c r="E2" s="22" t="s">
        <v>67</v>
      </c>
      <c r="F2" s="22" t="s">
        <v>153</v>
      </c>
      <c r="G2" s="22" t="s">
        <v>154</v>
      </c>
      <c r="H2" s="22" t="s">
        <v>155</v>
      </c>
      <c r="I2" s="22" t="s">
        <v>156</v>
      </c>
      <c r="J2" s="22" t="s">
        <v>157</v>
      </c>
    </row>
    <row r="3" ht="12.75" customHeight="1">
      <c r="A3" s="23" t="s">
        <v>21</v>
      </c>
      <c r="B3" s="24">
        <f>COUNTIF(TestCase!L:L,A3)</f>
        <v>3</v>
      </c>
      <c r="C3" s="25">
        <f t="shared" ref="C3:C5" si="1">IFERROR(B3/$B$6,0)</f>
        <v>0.09677419355</v>
      </c>
      <c r="D3" s="24">
        <f>COUNTIFS(TestCase!$I:$I,"*"&amp;D$2&amp;"*",TestCase!$L:$L,$A3)</f>
        <v>3</v>
      </c>
      <c r="E3" s="24">
        <f>COUNTIFS(TestCase!$I:$I,"*"&amp;E$2&amp;"*",TestCase!$L:$L,$A3)</f>
        <v>0</v>
      </c>
      <c r="F3" s="24">
        <f>COUNTIFS(TestCase!$I:$I,"*"&amp;F$2&amp;"*",TestCase!$L:$L,$A3)</f>
        <v>0</v>
      </c>
      <c r="G3" s="24">
        <f>COUNTIFS(TestCase!$I:$I,"*"&amp;G$2&amp;"*",TestCase!$L:$L,$A3)</f>
        <v>0</v>
      </c>
      <c r="H3" s="24">
        <f>COUNTIFS(TestCase!$I:$I,"*"&amp;H$2&amp;"*",TestCase!$L:$L,$A3)</f>
        <v>0</v>
      </c>
      <c r="I3" s="24">
        <f>COUNTIFS(TestCase!$I:$I,"*"&amp;I$2&amp;"*",TestCase!$L:$L,$A3)</f>
        <v>0</v>
      </c>
      <c r="J3" s="26">
        <f t="shared" ref="J3:J5" si="2">I3/B3</f>
        <v>0</v>
      </c>
    </row>
    <row r="4" ht="12.75" customHeight="1">
      <c r="A4" s="23" t="s">
        <v>158</v>
      </c>
      <c r="B4" s="24">
        <f>COUNTIF(TestCase!L:L,A4)</f>
        <v>0</v>
      </c>
      <c r="C4" s="25">
        <f t="shared" si="1"/>
        <v>0</v>
      </c>
      <c r="D4" s="24">
        <f>COUNTIFS(TestCase!$I:$I,"*"&amp;D$2&amp;"*",TestCase!$L:$L,$A4)</f>
        <v>0</v>
      </c>
      <c r="E4" s="24">
        <f>COUNTIFS(TestCase!$I:$I,"*"&amp;E$2&amp;"*",TestCase!$L:$L,$A4)</f>
        <v>0</v>
      </c>
      <c r="F4" s="24">
        <f>COUNTIFS(TestCase!$I:$I,"*"&amp;F$2&amp;"*",TestCase!$L:$L,$A4)</f>
        <v>0</v>
      </c>
      <c r="G4" s="24">
        <f>COUNTIFS(TestCase!$I:$I,"*"&amp;G$2&amp;"*",TestCase!$L:$L,$A4)</f>
        <v>0</v>
      </c>
      <c r="H4" s="24">
        <f>COUNTIFS(TestCase!$I:$I,"*"&amp;H$2&amp;"*",TestCase!$L:$L,$A4)</f>
        <v>0</v>
      </c>
      <c r="I4" s="27">
        <f t="shared" ref="I4:I5" si="3">SUM(D4:H4)</f>
        <v>0</v>
      </c>
      <c r="J4" s="26" t="str">
        <f t="shared" si="2"/>
        <v>#DIV/0!</v>
      </c>
    </row>
    <row r="5" ht="12.75" customHeight="1">
      <c r="A5" s="23" t="s">
        <v>33</v>
      </c>
      <c r="B5" s="24">
        <f>COUNTIF(TestCase!L:L,A5)</f>
        <v>28</v>
      </c>
      <c r="C5" s="25">
        <f t="shared" si="1"/>
        <v>0.9032258065</v>
      </c>
      <c r="D5" s="24">
        <f>COUNTIFS(TestCase!$I:$I,"*"&amp;D$2&amp;"*",TestCase!$L:$L,$A5)</f>
        <v>15</v>
      </c>
      <c r="E5" s="24">
        <f>COUNTIFS(TestCase!$I:$I,"*"&amp;E$2&amp;"*",TestCase!$L:$L,$A5)</f>
        <v>13</v>
      </c>
      <c r="F5" s="24">
        <f>COUNTIFS(TestCase!$I:$I,"*"&amp;F$2&amp;"*",TestCase!$L:$L,$A5)</f>
        <v>0</v>
      </c>
      <c r="G5" s="24">
        <f>COUNTIFS(TestCase!$I:$I,"*"&amp;G$2&amp;"*",TestCase!$L:$L,$A5)</f>
        <v>0</v>
      </c>
      <c r="H5" s="24">
        <f>COUNTIFS(TestCase!$I:$I,"*"&amp;H$2&amp;"*",TestCase!$L:$L,$A5)</f>
        <v>0</v>
      </c>
      <c r="I5" s="27">
        <f t="shared" si="3"/>
        <v>28</v>
      </c>
      <c r="J5" s="26">
        <f t="shared" si="2"/>
        <v>1</v>
      </c>
    </row>
    <row r="6" ht="12.75" customHeight="1">
      <c r="A6" s="28" t="s">
        <v>156</v>
      </c>
      <c r="B6" s="28">
        <f t="shared" ref="B6:I6" si="4">SUM(B3:B5)</f>
        <v>31</v>
      </c>
      <c r="C6" s="29">
        <f t="shared" si="4"/>
        <v>1</v>
      </c>
      <c r="D6" s="27">
        <f t="shared" si="4"/>
        <v>18</v>
      </c>
      <c r="E6" s="27">
        <f t="shared" si="4"/>
        <v>13</v>
      </c>
      <c r="F6" s="27">
        <f t="shared" si="4"/>
        <v>0</v>
      </c>
      <c r="G6" s="27">
        <f t="shared" si="4"/>
        <v>0</v>
      </c>
      <c r="H6" s="27">
        <f t="shared" si="4"/>
        <v>0</v>
      </c>
      <c r="I6" s="27">
        <f t="shared" si="4"/>
        <v>28</v>
      </c>
      <c r="J6" s="27"/>
    </row>
    <row r="7" ht="12.75" customHeight="1">
      <c r="A7" s="28" t="s">
        <v>157</v>
      </c>
      <c r="B7" s="28"/>
      <c r="C7" s="28"/>
      <c r="D7" s="26">
        <f t="shared" ref="D7:I7" si="5">D6/$B6</f>
        <v>0.5806451613</v>
      </c>
      <c r="E7" s="26">
        <f t="shared" si="5"/>
        <v>0.4193548387</v>
      </c>
      <c r="F7" s="26">
        <f t="shared" si="5"/>
        <v>0</v>
      </c>
      <c r="G7" s="26">
        <f t="shared" si="5"/>
        <v>0</v>
      </c>
      <c r="H7" s="26">
        <f t="shared" si="5"/>
        <v>0</v>
      </c>
      <c r="I7" s="26">
        <f t="shared" si="5"/>
        <v>0.9032258065</v>
      </c>
      <c r="J7" s="27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