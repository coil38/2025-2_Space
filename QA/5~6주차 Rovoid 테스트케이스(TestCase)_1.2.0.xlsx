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4"/>
    <sheet state="visible" name="TC MAP" sheetId="2" r:id="rId5"/>
  </sheets>
  <definedNames>
    <definedName localSheetId="0" name="머릿글">TestCase!$B$1:$K$1</definedName>
  </definedNames>
  <calcPr/>
  <extLst>
    <ext uri="GoogleSheetsCustomDataVersion2">
      <go:sheetsCustomData xmlns:go="http://customooxmlschemas.google.com/" r:id="rId6" roundtripDataChecksum="Jjqvk1Yyfj5u8v7RYPDuauMkTO3itbPeG7jgu5M8wC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9">
      <text>
        <t xml:space="preserve">빌드 파일에서 업데이트된 내용은 별도로 테두리 색상 적용하여 표기
======</t>
      </text>
    </comment>
    <comment authorId="0" ref="D1">
      <text>
        <t xml:space="preserve">======
ID#AAABs7L1S7Q
    (2025-10-14 05:03:27)
모듈단위 분류</t>
      </text>
    </comment>
    <comment authorId="0" ref="E1">
      <text>
        <t xml:space="preserve">======
ID#AAABs7L1S7U
    (2025-10-14 05:03:27)
사용자가 케이스의 내용을 빠르게 파악할 수 있도록 요약함</t>
      </text>
    </comment>
    <comment authorId="0" ref="C1">
      <text>
        <t xml:space="preserve">======
ID#AAABs7L1S7E
    (2025-10-14 05:03:27)
모듈의 집합을 알기 쉽도록 명칭</t>
      </text>
    </comment>
    <comment authorId="0" ref="H1">
      <text>
        <t xml:space="preserve">======
ID#AAABs7L1S7I
    (2025-10-14 05:03:27)
실행 순서에 대해 기대되는 결과를 입력</t>
      </text>
    </comment>
    <comment authorId="0" ref="J1">
      <text>
        <t xml:space="preserve">======
ID#AAABs7L1S7M
    (2025-10-14 05:03:27)
실제로 실행 순서를 실행한 결과를 입력</t>
      </text>
    </comment>
    <comment authorId="0" ref="F1">
      <text>
        <t xml:space="preserve">======
ID#AAABs7L1S7A
    (2025-10-14 05:03:27)
실행방법 실행전 충족되야하는 조건</t>
      </text>
    </comment>
    <comment authorId="0" ref="G1">
      <text>
        <t xml:space="preserve">======
ID#AAABs7L1S64
    (2025-10-14 05:03:27)
해당 케이스의 직접적인 실행 순서를 작성</t>
      </text>
    </comment>
    <comment authorId="0" ref="A1">
      <text>
        <t xml:space="preserve">======
ID#AAABs7L1S68
    (2025-10-14 05:03:27)
케이스 번호, 카운트 용도</t>
      </text>
    </comment>
    <comment authorId="0" ref="B1">
      <text>
        <t xml:space="preserve">======
ID#AAABs7L1S60
    (2025-10-14 05:03:27)
프로그램의 가장 큰단위로 나눌 수 있는 시스템 범주</t>
      </text>
    </comment>
  </commentList>
  <extLst>
    <ext uri="GoogleSheetsCustomDataVersion2">
      <go:sheetsCustomData xmlns:go="http://customooxmlschemas.google.com/" r:id="rId1" roundtripDataSignature="AMtx7mjFMp7z1lkuhUlB/iEk7A0MtFOuFg=="/>
    </ext>
  </extLst>
</comments>
</file>

<file path=xl/sharedStrings.xml><?xml version="1.0" encoding="utf-8"?>
<sst xmlns="http://schemas.openxmlformats.org/spreadsheetml/2006/main" count="315" uniqueCount="200">
  <si>
    <t>No</t>
  </si>
  <si>
    <t>대분류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</si>
  <si>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</si>
  <si>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</si>
  <si>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</si>
  <si>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</si>
  <si>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</si>
  <si>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</si>
  <si>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</si>
  <si>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</si>
  <si>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비고</t>
  </si>
  <si>
    <t>Tag</t>
  </si>
  <si>
    <t>게임
실행</t>
  </si>
  <si>
    <t>실행</t>
  </si>
  <si>
    <t>게임 실행</t>
  </si>
  <si>
    <t>클라이언트를 실행한다</t>
  </si>
  <si>
    <t>인게임
시작 전</t>
  </si>
  <si>
    <t>1. "SpaceAttack.exe" 파일 실행</t>
  </si>
  <si>
    <t>Rovoid가 실행될 것으로 예상된다</t>
  </si>
  <si>
    <t>Pass</t>
  </si>
  <si>
    <t>정상적으로 'Rovoid'가 실행됨</t>
  </si>
  <si>
    <t>게임실행</t>
  </si>
  <si>
    <t>윈도우</t>
  </si>
  <si>
    <t>최소화</t>
  </si>
  <si>
    <t>창을 최소화 한다</t>
  </si>
  <si>
    <t>1. 우측 상단 최소화 버튼 클릭</t>
  </si>
  <si>
    <t>창이 최소화 될 것으로 예상된다</t>
  </si>
  <si>
    <t>정상적으로 최소화가 실행됨</t>
  </si>
  <si>
    <t>닫기</t>
  </si>
  <si>
    <t>윈도우를 닫는다</t>
  </si>
  <si>
    <t>1. 우측 상단 X 버튼 클릭</t>
  </si>
  <si>
    <t>창이 꺼지며 게임이 종료될 것으로 예상된다</t>
  </si>
  <si>
    <t>정상적으로 게임이 종료됨</t>
  </si>
  <si>
    <t>메뉴 기능</t>
  </si>
  <si>
    <t>게임 메뉴</t>
  </si>
  <si>
    <t>일시중지</t>
  </si>
  <si>
    <t>인게임 도중 설정 메뉴로 진입한다</t>
  </si>
  <si>
    <t>인게임 
시작 후</t>
  </si>
  <si>
    <t>1. 게임 실행 도중 ESC 키를 클릭한다
2. 일시중지 메뉴가 뜨는지 확인한다</t>
  </si>
  <si>
    <t>일시중지 메뉴가 출력될 것으로 예상된다</t>
  </si>
  <si>
    <t>일시중지 메뉴가 출력됨</t>
  </si>
  <si>
    <t>메뉴기능</t>
  </si>
  <si>
    <t>Resume 버튼을 클릭한다</t>
  </si>
  <si>
    <t>1. Resume 버튼을 클릭한다
2. 원래 플레이 중인 게임 화면으로 이동되는지 확인한다</t>
  </si>
  <si>
    <t>원래 플레이 중인 게임 화면으로 이동될 것으로 예상된다</t>
  </si>
  <si>
    <t>원래 플레이 중인 게임 화면으로 이동됨</t>
  </si>
  <si>
    <t>인게임기능</t>
  </si>
  <si>
    <t>NewGame 버튼을 클릭한다</t>
  </si>
  <si>
    <t>1. NewGame 버튼을 클릭한다
2. 새 게임이 실행되는지 확인한다</t>
  </si>
  <si>
    <t>새 게임이 실행될 것으로 예상된다</t>
  </si>
  <si>
    <t>새 게임 실행은 아직 미구현 상태</t>
  </si>
  <si>
    <t>ArchiveMent 버튼을 클릭한다</t>
  </si>
  <si>
    <t>1. ArchiveMent 버튼을 클릭한다
2. 메뉴로 이동되는지 확인한다</t>
  </si>
  <si>
    <t>ArchiveMent가 실행될 것으로 예상된다</t>
  </si>
  <si>
    <t>ArchiveMent도 아직 미구현 상태</t>
  </si>
  <si>
    <t>Help 버튼을 클릭한다</t>
  </si>
  <si>
    <t>1. Help 버튼을 클릭한다
2. 도움말 메뉴가 뜨는지 확인한다</t>
  </si>
  <si>
    <t>도움말 메뉴가 뜰 것으로 예상된다</t>
  </si>
  <si>
    <t>도움말도 아직 미구현 상태</t>
  </si>
  <si>
    <t>Setting 버튼을 클릭한다</t>
  </si>
  <si>
    <t>1. Setting 버튼을 클릭한다
2. 설정 메뉴가 뜨는지 확인한다</t>
  </si>
  <si>
    <t>설정 메뉴가 출력될 것으로 예상된다</t>
  </si>
  <si>
    <t>설정 메뉴가 정상적으로 출력됨</t>
  </si>
  <si>
    <t>Exit 버튼을 클릭한다</t>
  </si>
  <si>
    <t>1. Exit 버튼을 클릭한다
2. 게임이 종료되는지 확인한다</t>
  </si>
  <si>
    <t>게임이 정상적으로 종료될 것으로 예상된다</t>
  </si>
  <si>
    <t>게임이 정상적으로 종료됨</t>
  </si>
  <si>
    <t xml:space="preserve">인게임 기능
</t>
  </si>
  <si>
    <t xml:space="preserve"> 플레이어 이동</t>
  </si>
  <si>
    <t>앞으로 이동</t>
  </si>
  <si>
    <t>W 키를 누르면 캐릭터가 앞으로 전진한다</t>
  </si>
  <si>
    <t>1. W 키 클릭
2. 캐릭터가 앞으로 이동하는지 확인한다</t>
  </si>
  <si>
    <t>캐릭터가 앞으로 이동할 것으로 예상된다</t>
  </si>
  <si>
    <t>캐릭터가 앞으로 이동함</t>
  </si>
  <si>
    <t>왼쪽으로 이동</t>
  </si>
  <si>
    <t>A 키를 누르면 캐릭터가 왼쪽으로 이동한다</t>
  </si>
  <si>
    <t>1. A 키 클릭
2. 캐릭터가 왼쪽으로 이동하는지 확인한다</t>
  </si>
  <si>
    <t>캐릭터가 왼쪽으로 이동할 것으로 예상된다</t>
  </si>
  <si>
    <t>캐릭터가 왼쪽으로 이동함</t>
  </si>
  <si>
    <t>오른쪽으로 이동</t>
  </si>
  <si>
    <t>D 키를 누르면 캐릭터가 오른쪽으로 이동한다</t>
  </si>
  <si>
    <t>1. D 키 클릭
2. 캐릭터가 오른쪽으로 이동하는지 확인한다</t>
  </si>
  <si>
    <t>캐릭터가 오른쪽으로 이동할 것으로 예상된다</t>
  </si>
  <si>
    <t>캐릭터가 오른쪽으로 이동함</t>
  </si>
  <si>
    <t>뒤로 이동</t>
  </si>
  <si>
    <t>S 키를 누르면 캐릭터가 뒤로 후진한다</t>
  </si>
  <si>
    <t>1. S 키 클릭
2. 캐릭터가 뒤으로 이동하는지 확인한다</t>
  </si>
  <si>
    <t>캐릭터가 뒤로 이동할 것으로 예상된다</t>
  </si>
  <si>
    <t>캐릭터가 뒤로 이동함</t>
  </si>
  <si>
    <t>대쉬</t>
  </si>
  <si>
    <t>Space 키를 누르면 캐릭터가 대쉬한다</t>
  </si>
  <si>
    <t>1. Space 키를 클릭
2. 플레이어가 대쉬하는지 확인한다</t>
  </si>
  <si>
    <t>캐릭터가 대쉬할 것으로 예상된다</t>
  </si>
  <si>
    <t>캐릭터가 대쉬함</t>
  </si>
  <si>
    <t>스킬</t>
  </si>
  <si>
    <t>스킬 선택</t>
  </si>
  <si>
    <t>스테이지의 보라색 스킬 선택 바에서 F 키를 누른다</t>
  </si>
  <si>
    <t>1. 플레이어가 스테이지에서 W, A, S, D 키를 활용하여 보라색 스킬 선택 바가 있는 곳으로 이동한다
2. 보라색 스킬 선택 바에서 F 키를 클릭한다
3. 전체 6개의 칩셋 중 2개의 잠금해제된 칩셋에서 스킬 1개를 선택한다
4. 'SELECT'를 클릭한다</t>
  </si>
  <si>
    <t>스킬 1 OR 스킬 2가 선택될 것으로 예상된다</t>
  </si>
  <si>
    <t>스킬이 선택됨</t>
  </si>
  <si>
    <t>칩셋 1 (Chipst_Warrior)</t>
  </si>
  <si>
    <t>This is Warriors BaseAttack를 클릭한다 (1)</t>
  </si>
  <si>
    <t>1. 칩셋 1 (Chipst_Warrior)을 선택한다
2. This is Warriors BaseAttack를 클릭한다</t>
  </si>
  <si>
    <t>스킬이 작동할 것으로 예상된다</t>
  </si>
  <si>
    <t>This is Warriors StingSkill을 클릭한다 (2)</t>
  </si>
  <si>
    <t>1. 칩셋 1 (Chipst_Warrior)을 선택한다
2. This is Warriors StingSkill을 클릭한다</t>
  </si>
  <si>
    <t>Fail</t>
  </si>
  <si>
    <t>아직 미구현 상태임</t>
  </si>
  <si>
    <t>This is Warriors BeheadingSkill을 클릭한다 (3)</t>
  </si>
  <si>
    <t>1. 칩셋 1 (Chipst_Warrior)을 선택한다
2. This is Warriors BeheadingSkill을 클릭한다</t>
  </si>
  <si>
    <t>This is Warriors CoreActivationSkill을 클릭한다 (4)</t>
  </si>
  <si>
    <t xml:space="preserve">1. 칩셋 1 (Chipst_Warrior)을 선택한다
2. This is Warriors CoreActivationSkill을 클릭한다 </t>
  </si>
  <si>
    <t>칩셋 2 (Chipset_Archer)</t>
  </si>
  <si>
    <t>This is Archers BaseAttack를 클릭한다 (1)</t>
  </si>
  <si>
    <t>1. 칩셋 2 (Chipset_Archer)를 선택한다
2. This is Archers BaseAttack를 클릭한다</t>
  </si>
  <si>
    <t>This is Archers BigArrowSkill을 클릭한다 (2)</t>
  </si>
  <si>
    <t>1. 칩셋 2 (Chipset_Archer)를 선택한다
2. This is Archers BigArrowSkill을 클릭한다</t>
  </si>
  <si>
    <t>This is Archers ConsentratedFireSkill을 클릭한다 (3)</t>
  </si>
  <si>
    <t>1. 칩셋 2 (Chipset_Archer)를 선택한다
2. This is Archers ConsentratedFireSkill을 클릭한다</t>
  </si>
  <si>
    <t>This is Archers _ChargingShitSkill을 클릭한다 (4)</t>
  </si>
  <si>
    <t>1. 칩셋 2 (Chipset_Archer)를 선택한다
2. This is Archers _ChargingShitSkill을 클릭한다</t>
  </si>
  <si>
    <t>스킬 1</t>
  </si>
  <si>
    <t>Q 키를 누르면 스킬 1을 실행한다</t>
  </si>
  <si>
    <t>1. Q 키 클릭
2. 스킬 1이 실행되는지 확인한다</t>
  </si>
  <si>
    <t>스킬 1이 실행될 것으로 예상된다</t>
  </si>
  <si>
    <t>스킬 2</t>
  </si>
  <si>
    <t>E 키를 누르면 스킬 2를 실행한다</t>
  </si>
  <si>
    <t>1. E 키 클릭
2. 스킬 2가 실행되는지 확인한다</t>
  </si>
  <si>
    <t>스킬 2가 실행될 것으로 예상된다</t>
  </si>
  <si>
    <t>스킬 3</t>
  </si>
  <si>
    <t>R 키를 누르면 스킬 3을 실행한다</t>
  </si>
  <si>
    <t>1. R 키 클릭
2. 스킬 3이 실행되는지 확인한다</t>
  </si>
  <si>
    <t>스킬 3이 실행될 것으로 예상된다</t>
  </si>
  <si>
    <t>유물</t>
  </si>
  <si>
    <t>유물 획득</t>
  </si>
  <si>
    <t>F 키를 눌러 유물을 획득한다</t>
  </si>
  <si>
    <t>1. F 키 클릭
2. 유물을 획득했는지 확인한다</t>
  </si>
  <si>
    <t>유물을 획득할 것으로 예상된다</t>
  </si>
  <si>
    <t>획득한 유물이 우측 상단의 인벤토리에 표시됨</t>
  </si>
  <si>
    <t>유물 정보</t>
  </si>
  <si>
    <t>Z 키를 눌러 유물 정보를 확인한다</t>
  </si>
  <si>
    <t>1. Z 키 클릭
2. 플레이어가 이동할 때 8개의 유물 정보가 뜨는지 모두 확인한다</t>
  </si>
  <si>
    <t>유물 정보가 정상적으로 출력될 것으로 예상된다</t>
  </si>
  <si>
    <t>유물의 정보가 HUD에 표시됨</t>
  </si>
  <si>
    <t>유물 1
( EmergencyRecoveryMatrix )</t>
  </si>
  <si>
    <t>Z 키를 클릭해서 유물 정보를 확인하고
F 키를 클릭해서 유물을 획득한다</t>
  </si>
  <si>
    <t>1. 빨간색 둥근 사각형 바로 이동한다 
2. 유물 정보 출력 및 유물 획득이 가능한지 확인한다</t>
  </si>
  <si>
    <t>유물 정보 출력 및 유물 획득이 가능할 것으로 예상된다</t>
  </si>
  <si>
    <t>유물 1 정보 출력 및 획득이 가능함</t>
  </si>
  <si>
    <t>유물 2
( EvasionProtocol )</t>
  </si>
  <si>
    <t>1. 주황색 둥근 사각형 바로 이동한다
2. 유물 정보 출력 및 유물 획득이 가능한지 확인한다</t>
  </si>
  <si>
    <t>유물 2 정보 출력 및 획득이 가능함</t>
  </si>
  <si>
    <t>유물 3
( OverheatAmplifier )</t>
  </si>
  <si>
    <t>1. 노란색 둥근 사각형 바로 이동한다
2. 유물 정보 출력 및 유물 획득이 가능한지 확인한다</t>
  </si>
  <si>
    <t>유물 3 정보 출력 및 획득이 가능함</t>
  </si>
  <si>
    <t>유물 4
( OverloadAlgorithm )</t>
  </si>
  <si>
    <t>1. 연두색 둥근 사각형 바로 이동한다
2. 유물 정보 출력 및 유물 획득이 가능한지 확인한다</t>
  </si>
  <si>
    <t>유물 4 정보 출력 및 획득이 가능함</t>
  </si>
  <si>
    <t>유물 5
( ProcessAnalyzer )</t>
  </si>
  <si>
    <t>1. 하늘색 둥근 사각형 바로 이동한다
2. 유물 정보 출력 및 유물 획득이 가능한지 확인한다</t>
  </si>
  <si>
    <t>유물 5 정보 출력 및 획득이 가능함</t>
  </si>
  <si>
    <t>유물 6
( SpeedOptimization )</t>
  </si>
  <si>
    <t>1. 파란색 둥근 사각형 바로 이동한다
2. 유물 정보 출력 및 유물 획득이 가능한지 확인한다</t>
  </si>
  <si>
    <t>유물 6 정보 출력 및 획득이 가능함</t>
  </si>
  <si>
    <t>유물 7
( UnstableOperator )</t>
  </si>
  <si>
    <t>1. 핑크색 둥근 사각형 바로 이동한다
2. 유물 정보 출력 및 유물 획득이 가능한지 확인한다</t>
  </si>
  <si>
    <t>유물 7 정보 출력 및 획득이 가능함</t>
  </si>
  <si>
    <t>유물 8
( SuperComputer )</t>
  </si>
  <si>
    <t>1. 검정색 둥근 사각형 바로 이동한다
2. 유물 정보 출력 및 유물 획득이 가능한지 확인한다</t>
  </si>
  <si>
    <t>유물 8 정보 출력 및 획득이 가능함</t>
  </si>
  <si>
    <t>HUD</t>
  </si>
  <si>
    <t>체력 바 (좌측 최상단)</t>
  </si>
  <si>
    <t>데미지를 받았을 때 체력이 -1씩 감소한다</t>
  </si>
  <si>
    <t>1. 플레이어는 공격을 하지 않고 몬스터가 있는 위치로 이동한다
2. 좌측 상단의 플레이어의 체력이 -1씩 감소되는지 확인한다</t>
  </si>
  <si>
    <t>플레이어의 체력이 -1 감소될 것으로 예상된다</t>
  </si>
  <si>
    <t>플레이어의 체력이 정상적으로 -1씩 감소함</t>
  </si>
  <si>
    <t>유물 획득 게이지 (좌측 상단)</t>
  </si>
  <si>
    <t>좌측 상단의 유물 획득 게이지가 작동하는지 확인한다</t>
  </si>
  <si>
    <t>1. 마우스 왼쪽 버튼을 클릭
2. 유물 획득 게이지가 조절되는지 확인한다</t>
  </si>
  <si>
    <t>유물 획득 게이지가 증가 및 감소될 것으로 예상된다</t>
  </si>
  <si>
    <t>유물 획득 가능 게이지가 증가 및 감소함</t>
  </si>
  <si>
    <t>장착된 스킬 (좌측 상단)</t>
  </si>
  <si>
    <t>좌측 상단의 스킬이 제대로 장착되었는지 확인한다</t>
  </si>
  <si>
    <t>1. 좌측 상단의 체력 바 하단의 검 스킬이 장착되었는지 확인한다</t>
  </si>
  <si>
    <t>장착되었을 것이라고 예상된다</t>
  </si>
  <si>
    <t>정상적으로 검 스킬이 장착되었고 UI에 표시됨</t>
  </si>
  <si>
    <t>유물 획득 바 (우측 최상단)</t>
  </si>
  <si>
    <t>우측 상단의 유물 획득 바에서 유물 획득 상태를 확인한다</t>
  </si>
  <si>
    <t>1. 유물 인벤토리에 유물 획득 상태를 확인한다</t>
  </si>
  <si>
    <t>유물 인벤토리에 유물이 획득될 것으로 예상된다</t>
  </si>
  <si>
    <t>정상적으로 유물 인벤토리에 표시됨</t>
  </si>
  <si>
    <t>테스트케이스 현황</t>
  </si>
  <si>
    <t>분류</t>
  </si>
  <si>
    <t>개수</t>
  </si>
  <si>
    <t>비율</t>
  </si>
  <si>
    <t>N/A</t>
  </si>
  <si>
    <t>Block</t>
  </si>
  <si>
    <t>N/T</t>
  </si>
  <si>
    <t>Total</t>
  </si>
  <si>
    <t>Total(%)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</si>
</sst>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ptos Narrow"/>
      <scheme val="minor"/>
    </font>
    <font>
      <b/>
      <sz val="12.0"/>
      <color theme="1"/>
      <name val="Verdana"/>
    </font>
    <font>
      <sz val="10.0"/>
      <color theme="1"/>
      <name val="Verdana"/>
    </font>
    <font>
      <sz val="10.0"/>
      <color rgb="FFFFFFFF"/>
      <name val="Verdana"/>
    </font>
    <font>
      <sz val="10.0"/>
      <color theme="1"/>
      <name val="Aptos Narrow"/>
    </font>
    <font/>
    <font>
      <color theme="1"/>
      <name val="Verdana"/>
    </font>
    <font>
      <color theme="1"/>
      <name val="Arial"/>
    </font>
    <font>
      <sz val="10.0"/>
      <color theme="1"/>
      <name val="Arial"/>
    </font>
    <font>
      <b/>
      <sz val="9.0"/>
      <color theme="1"/>
      <name val="Gulim"/>
    </font>
    <font>
      <b/>
      <sz val="9.0"/>
      <color rgb="FFFFFFFF"/>
      <name val="Gulim"/>
    </font>
    <font>
      <sz val="9.0"/>
      <color theme="1"/>
      <name val="Gulim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7">
    <border/>
    <border>
      <left style="thin">
        <color rgb="FFF3F3F3"/>
      </left>
      <right style="thin">
        <color rgb="FFF3F3F3"/>
      </right>
      <top style="thin">
        <color rgb="FFF3F3F3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4" fillId="0" fontId="5" numFmtId="0" xfId="0" applyAlignment="1" applyBorder="1" applyFont="1">
      <alignment shrinkToFit="0" wrapText="1"/>
    </xf>
    <xf borderId="2" fillId="0" fontId="2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shrinkToFit="0" wrapText="1"/>
    </xf>
    <xf borderId="2" fillId="0" fontId="6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shrinkToFit="0" wrapText="1"/>
    </xf>
    <xf borderId="2" fillId="0" fontId="8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shrinkToFit="0" wrapText="1"/>
    </xf>
    <xf borderId="2" fillId="0" fontId="8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shrinkToFit="0" wrapText="1"/>
    </xf>
    <xf borderId="2" fillId="0" fontId="8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shrinkToFit="0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shrinkToFit="0" wrapText="1"/>
    </xf>
    <xf borderId="6" fillId="4" fontId="10" numFmtId="0" xfId="0" applyAlignment="1" applyBorder="1" applyFill="1" applyFont="1">
      <alignment shrinkToFit="0" wrapText="1"/>
    </xf>
    <xf borderId="6" fillId="5" fontId="11" numFmtId="0" xfId="0" applyAlignment="1" applyBorder="1" applyFill="1" applyFont="1">
      <alignment shrinkToFit="0" wrapText="1"/>
    </xf>
    <xf borderId="0" fillId="0" fontId="11" numFmtId="0" xfId="0" applyAlignment="1" applyFont="1">
      <alignment shrinkToFit="0" wrapText="1"/>
    </xf>
    <xf borderId="0" fillId="0" fontId="11" numFmtId="9" xfId="0" applyAlignment="1" applyFont="1" applyNumberFormat="1">
      <alignment shrinkToFit="0" wrapText="1"/>
    </xf>
    <xf borderId="6" fillId="6" fontId="11" numFmtId="9" xfId="0" applyAlignment="1" applyBorder="1" applyFill="1" applyFont="1" applyNumberFormat="1">
      <alignment shrinkToFit="0" wrapText="1"/>
    </xf>
    <xf borderId="6" fillId="6" fontId="11" numFmtId="0" xfId="0" applyAlignment="1" applyBorder="1" applyFont="1">
      <alignment shrinkToFit="0" wrapText="1"/>
    </xf>
    <xf borderId="6" fillId="7" fontId="11" numFmtId="0" xfId="0" applyAlignment="1" applyBorder="1" applyFill="1" applyFont="1">
      <alignment shrinkToFit="0" wrapText="1"/>
    </xf>
    <xf borderId="6" fillId="7" fontId="11" numFmtId="10" xfId="0" applyAlignment="1" applyBorder="1" applyFont="1" applyNumberFormat="1">
      <alignment shrinkToFit="0" wrapText="1"/>
    </xf>
  </cellXfs>
  <cellStyles count="1">
    <cellStyle xfId="0" name="Normal" builtinId="0"/>
  </cellStyles>
  <dxfs count="10">
    <dxf>
      <font/>
      <fill>
        <patternFill patternType="solid">
          <fgColor rgb="FFF3F3F3"/>
          <bgColor rgb="FFF3F3F3"/>
        </patternFill>
      </fill>
      <border/>
    </dxf>
    <dxf>
      <font>
        <color rgb="FF0000FF"/>
      </font>
      <fill>
        <patternFill patternType="solid">
          <fgColor rgb="FFCFE2F3"/>
          <bgColor rgb="FFCFE2F3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9900FF"/>
      </font>
      <fill>
        <patternFill patternType="solid">
          <fgColor rgb="FFD9D2E9"/>
          <bgColor rgb="FFD9D2E9"/>
        </patternFill>
      </fill>
      <border/>
    </dxf>
    <dxf>
      <font>
        <color rgb="FFFF9900"/>
      </font>
      <fill>
        <patternFill patternType="solid">
          <fgColor rgb="FFFCE5CD"/>
          <bgColor rgb="FFFCE5CD"/>
        </patternFill>
      </fill>
      <border/>
    </dxf>
    <dxf>
      <font>
        <color rgb="FF000000"/>
      </font>
      <fill>
        <patternFill patternType="solid">
          <fgColor rgb="FFEFEFEF"/>
          <bgColor rgb="FFEFEFEF"/>
        </patternFill>
      </fill>
      <border/>
    </dxf>
    <dxf>
      <font>
        <color rgb="FF073763"/>
      </font>
      <fill>
        <patternFill patternType="solid">
          <fgColor rgb="FFCFE2F3"/>
          <bgColor rgb="FFCFE2F3"/>
        </patternFill>
      </fill>
      <border/>
    </dxf>
    <dxf>
      <font>
        <color rgb="FF660000"/>
      </font>
      <fill>
        <patternFill patternType="solid">
          <fgColor rgb="FFF4CCCC"/>
          <bgColor rgb="FFF4CCCC"/>
        </patternFill>
      </fill>
      <border/>
    </dxf>
    <dxf>
      <font>
        <color rgb="FF20124D"/>
      </font>
      <fill>
        <patternFill patternType="solid">
          <fgColor rgb="FFD9D2E9"/>
          <bgColor rgb="FFD9D2E9"/>
        </patternFill>
      </fill>
      <border/>
    </dxf>
    <dxf>
      <font>
        <color rgb="FF783F04"/>
      </font>
      <fill>
        <patternFill patternType="solid">
          <fgColor rgb="FFFCE5CD"/>
          <bgColor rgb="FFFCE5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57"/>
    <col customWidth="1" min="2" max="3" width="12.57"/>
    <col customWidth="1" min="4" max="4" width="30.14"/>
    <col customWidth="1" min="5" max="5" width="46.57"/>
    <col customWidth="1" min="6" max="6" width="12.57"/>
    <col customWidth="1" min="7" max="7" width="62.57"/>
    <col customWidth="1" min="8" max="8" width="36.29"/>
    <col customWidth="1" min="9" max="9" width="12.14"/>
    <col customWidth="1" min="10" max="10" width="17.14"/>
    <col customWidth="1" min="11" max="11" width="11.29"/>
    <col customWidth="1" min="12" max="12" width="20.14"/>
    <col customWidth="1" min="13" max="26" width="12.57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7.5" customHeight="1">
      <c r="A2" s="2">
        <f t="shared" ref="A2:A42" si="1">ROW()-2</f>
        <v>0</v>
      </c>
      <c r="B2" s="3" t="s">
        <v>12</v>
      </c>
      <c r="C2" s="2" t="s">
        <v>13</v>
      </c>
      <c r="D2" s="2" t="s">
        <v>14</v>
      </c>
      <c r="E2" s="4" t="s">
        <v>15</v>
      </c>
      <c r="F2" s="3" t="s">
        <v>16</v>
      </c>
      <c r="G2" s="4" t="s">
        <v>17</v>
      </c>
      <c r="H2" s="4" t="s">
        <v>18</v>
      </c>
      <c r="I2" s="5" t="s">
        <v>19</v>
      </c>
      <c r="J2" s="4" t="s">
        <v>20</v>
      </c>
      <c r="K2" s="4"/>
      <c r="L2" s="2" t="s">
        <v>21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7.5" customHeight="1">
      <c r="A3" s="2">
        <f t="shared" si="1"/>
        <v>1</v>
      </c>
      <c r="B3" s="7"/>
      <c r="C3" s="3" t="s">
        <v>22</v>
      </c>
      <c r="D3" s="2" t="s">
        <v>23</v>
      </c>
      <c r="E3" s="8" t="s">
        <v>24</v>
      </c>
      <c r="F3" s="7"/>
      <c r="G3" s="4" t="s">
        <v>25</v>
      </c>
      <c r="H3" s="4" t="s">
        <v>26</v>
      </c>
      <c r="I3" s="5" t="s">
        <v>19</v>
      </c>
      <c r="J3" s="8" t="s">
        <v>27</v>
      </c>
      <c r="K3" s="8"/>
      <c r="L3" s="2" t="s">
        <v>21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7.5" customHeight="1">
      <c r="A4" s="2">
        <f t="shared" si="1"/>
        <v>2</v>
      </c>
      <c r="B4" s="9"/>
      <c r="C4" s="9"/>
      <c r="D4" s="2" t="s">
        <v>28</v>
      </c>
      <c r="E4" s="8" t="s">
        <v>29</v>
      </c>
      <c r="F4" s="9"/>
      <c r="G4" s="8" t="s">
        <v>30</v>
      </c>
      <c r="H4" s="8" t="s">
        <v>31</v>
      </c>
      <c r="I4" s="5" t="s">
        <v>19</v>
      </c>
      <c r="J4" s="8" t="s">
        <v>32</v>
      </c>
      <c r="K4" s="8"/>
      <c r="L4" s="2" t="s">
        <v>21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7.5" customHeight="1">
      <c r="A5" s="2">
        <f t="shared" si="1"/>
        <v>3</v>
      </c>
      <c r="B5" s="3" t="s">
        <v>33</v>
      </c>
      <c r="C5" s="3" t="s">
        <v>34</v>
      </c>
      <c r="D5" s="3" t="s">
        <v>35</v>
      </c>
      <c r="E5" s="10" t="s">
        <v>36</v>
      </c>
      <c r="F5" s="3" t="s">
        <v>37</v>
      </c>
      <c r="G5" s="11" t="s">
        <v>38</v>
      </c>
      <c r="H5" s="11" t="s">
        <v>39</v>
      </c>
      <c r="I5" s="5" t="s">
        <v>19</v>
      </c>
      <c r="J5" s="11" t="s">
        <v>40</v>
      </c>
      <c r="K5" s="8"/>
      <c r="L5" s="2" t="s">
        <v>41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7.5" customHeight="1">
      <c r="A6" s="2">
        <f t="shared" si="1"/>
        <v>4</v>
      </c>
      <c r="B6" s="7"/>
      <c r="C6" s="7"/>
      <c r="D6" s="7"/>
      <c r="E6" s="10" t="s">
        <v>42</v>
      </c>
      <c r="F6" s="7"/>
      <c r="G6" s="11" t="s">
        <v>43</v>
      </c>
      <c r="H6" s="11" t="s">
        <v>44</v>
      </c>
      <c r="I6" s="5" t="s">
        <v>19</v>
      </c>
      <c r="J6" s="11" t="s">
        <v>45</v>
      </c>
      <c r="K6" s="8"/>
      <c r="L6" s="2" t="s">
        <v>46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7.5" customHeight="1">
      <c r="A7" s="2">
        <f t="shared" si="1"/>
        <v>5</v>
      </c>
      <c r="B7" s="7"/>
      <c r="C7" s="7"/>
      <c r="D7" s="7"/>
      <c r="E7" s="10" t="s">
        <v>47</v>
      </c>
      <c r="F7" s="7"/>
      <c r="G7" s="11" t="s">
        <v>48</v>
      </c>
      <c r="H7" s="11" t="s">
        <v>49</v>
      </c>
      <c r="I7" s="5" t="s">
        <v>19</v>
      </c>
      <c r="J7" s="11" t="s">
        <v>50</v>
      </c>
      <c r="K7" s="8"/>
      <c r="L7" s="2" t="s">
        <v>46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7.5" customHeight="1">
      <c r="A8" s="2">
        <f t="shared" si="1"/>
        <v>6</v>
      </c>
      <c r="B8" s="7"/>
      <c r="C8" s="7"/>
      <c r="D8" s="7"/>
      <c r="E8" s="10" t="s">
        <v>51</v>
      </c>
      <c r="F8" s="7"/>
      <c r="G8" s="11" t="s">
        <v>52</v>
      </c>
      <c r="H8" s="11" t="s">
        <v>53</v>
      </c>
      <c r="I8" s="5" t="s">
        <v>19</v>
      </c>
      <c r="J8" s="11" t="s">
        <v>54</v>
      </c>
      <c r="K8" s="8"/>
      <c r="L8" s="2" t="s">
        <v>46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7.5" customHeight="1">
      <c r="A9" s="2">
        <f t="shared" si="1"/>
        <v>7</v>
      </c>
      <c r="B9" s="7"/>
      <c r="C9" s="7"/>
      <c r="D9" s="7"/>
      <c r="E9" s="10" t="s">
        <v>55</v>
      </c>
      <c r="F9" s="7"/>
      <c r="G9" s="11" t="s">
        <v>56</v>
      </c>
      <c r="H9" s="11" t="s">
        <v>57</v>
      </c>
      <c r="I9" s="5" t="s">
        <v>19</v>
      </c>
      <c r="J9" s="11" t="s">
        <v>58</v>
      </c>
      <c r="K9" s="8"/>
      <c r="L9" s="2" t="s">
        <v>46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7.5" customHeight="1">
      <c r="A10" s="2">
        <f t="shared" si="1"/>
        <v>8</v>
      </c>
      <c r="B10" s="7"/>
      <c r="C10" s="7"/>
      <c r="D10" s="7"/>
      <c r="E10" s="12" t="s">
        <v>59</v>
      </c>
      <c r="F10" s="7"/>
      <c r="G10" s="13" t="s">
        <v>60</v>
      </c>
      <c r="H10" s="13" t="s">
        <v>61</v>
      </c>
      <c r="I10" s="14" t="s">
        <v>19</v>
      </c>
      <c r="J10" s="13" t="s">
        <v>62</v>
      </c>
      <c r="K10" s="15"/>
      <c r="L10" s="3" t="s">
        <v>46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7.5" customHeight="1">
      <c r="A11" s="2">
        <f t="shared" si="1"/>
        <v>9</v>
      </c>
      <c r="B11" s="7"/>
      <c r="C11" s="7"/>
      <c r="D11" s="9"/>
      <c r="E11" s="12" t="s">
        <v>63</v>
      </c>
      <c r="F11" s="7"/>
      <c r="G11" s="13" t="s">
        <v>64</v>
      </c>
      <c r="H11" s="13" t="s">
        <v>65</v>
      </c>
      <c r="I11" s="5" t="s">
        <v>19</v>
      </c>
      <c r="J11" s="13" t="s">
        <v>66</v>
      </c>
      <c r="K11" s="8"/>
      <c r="L11" s="2" t="s">
        <v>46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7.5" customHeight="1">
      <c r="A12" s="2">
        <f t="shared" si="1"/>
        <v>10</v>
      </c>
      <c r="B12" s="3" t="s">
        <v>67</v>
      </c>
      <c r="C12" s="3" t="s">
        <v>68</v>
      </c>
      <c r="D12" s="16" t="s">
        <v>69</v>
      </c>
      <c r="E12" s="11" t="s">
        <v>70</v>
      </c>
      <c r="F12" s="7"/>
      <c r="G12" s="11" t="s">
        <v>71</v>
      </c>
      <c r="H12" s="11" t="s">
        <v>72</v>
      </c>
      <c r="I12" s="5" t="s">
        <v>19</v>
      </c>
      <c r="J12" s="11" t="s">
        <v>73</v>
      </c>
      <c r="K12" s="8"/>
      <c r="L12" s="2" t="s">
        <v>46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52.5" customHeight="1">
      <c r="A13" s="2">
        <f t="shared" si="1"/>
        <v>11</v>
      </c>
      <c r="B13" s="7"/>
      <c r="C13" s="7"/>
      <c r="D13" s="16" t="s">
        <v>74</v>
      </c>
      <c r="E13" s="11" t="s">
        <v>75</v>
      </c>
      <c r="F13" s="7"/>
      <c r="G13" s="11" t="s">
        <v>76</v>
      </c>
      <c r="H13" s="11" t="s">
        <v>77</v>
      </c>
      <c r="I13" s="5" t="s">
        <v>19</v>
      </c>
      <c r="J13" s="11" t="s">
        <v>78</v>
      </c>
      <c r="K13" s="8"/>
      <c r="L13" s="2" t="s">
        <v>46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52.5" customHeight="1">
      <c r="A14" s="2">
        <f t="shared" si="1"/>
        <v>12</v>
      </c>
      <c r="B14" s="7"/>
      <c r="C14" s="7"/>
      <c r="D14" s="16" t="s">
        <v>79</v>
      </c>
      <c r="E14" s="11" t="s">
        <v>80</v>
      </c>
      <c r="F14" s="7"/>
      <c r="G14" s="11" t="s">
        <v>81</v>
      </c>
      <c r="H14" s="11" t="s">
        <v>82</v>
      </c>
      <c r="I14" s="5" t="s">
        <v>19</v>
      </c>
      <c r="J14" s="11" t="s">
        <v>83</v>
      </c>
      <c r="K14" s="17"/>
      <c r="L14" s="2" t="s">
        <v>46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52.5" customHeight="1">
      <c r="A15" s="2">
        <f t="shared" si="1"/>
        <v>13</v>
      </c>
      <c r="B15" s="7"/>
      <c r="C15" s="7"/>
      <c r="D15" s="16" t="s">
        <v>84</v>
      </c>
      <c r="E15" s="11" t="s">
        <v>85</v>
      </c>
      <c r="F15" s="7"/>
      <c r="G15" s="11" t="s">
        <v>86</v>
      </c>
      <c r="H15" s="11" t="s">
        <v>87</v>
      </c>
      <c r="I15" s="5" t="s">
        <v>19</v>
      </c>
      <c r="J15" s="11" t="s">
        <v>88</v>
      </c>
      <c r="K15" s="17"/>
      <c r="L15" s="2" t="s">
        <v>46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52.5" customHeight="1">
      <c r="A16" s="2">
        <f t="shared" si="1"/>
        <v>14</v>
      </c>
      <c r="B16" s="7"/>
      <c r="C16" s="9"/>
      <c r="D16" s="18" t="s">
        <v>89</v>
      </c>
      <c r="E16" s="19" t="s">
        <v>90</v>
      </c>
      <c r="F16" s="7"/>
      <c r="G16" s="19" t="s">
        <v>91</v>
      </c>
      <c r="H16" s="19" t="s">
        <v>92</v>
      </c>
      <c r="I16" s="5" t="s">
        <v>19</v>
      </c>
      <c r="J16" s="19" t="s">
        <v>93</v>
      </c>
      <c r="K16" s="8"/>
      <c r="L16" s="2" t="s">
        <v>46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">
        <f t="shared" si="1"/>
        <v>15</v>
      </c>
      <c r="B17" s="7"/>
      <c r="C17" s="18" t="s">
        <v>94</v>
      </c>
      <c r="D17" s="20" t="s">
        <v>95</v>
      </c>
      <c r="E17" s="12" t="s">
        <v>96</v>
      </c>
      <c r="F17" s="7"/>
      <c r="G17" s="13" t="s">
        <v>97</v>
      </c>
      <c r="H17" s="13" t="s">
        <v>98</v>
      </c>
      <c r="I17" s="5" t="s">
        <v>19</v>
      </c>
      <c r="J17" s="13" t="s">
        <v>99</v>
      </c>
      <c r="K17" s="8"/>
      <c r="L17" s="2" t="s">
        <v>46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52.5" customHeight="1">
      <c r="A18" s="2">
        <f t="shared" si="1"/>
        <v>16</v>
      </c>
      <c r="B18" s="7"/>
      <c r="C18" s="7"/>
      <c r="D18" s="18" t="s">
        <v>100</v>
      </c>
      <c r="E18" s="12" t="s">
        <v>101</v>
      </c>
      <c r="F18" s="7"/>
      <c r="G18" s="13" t="s">
        <v>102</v>
      </c>
      <c r="H18" s="13" t="s">
        <v>103</v>
      </c>
      <c r="I18" s="5" t="s">
        <v>19</v>
      </c>
      <c r="J18" s="13" t="s">
        <v>99</v>
      </c>
      <c r="K18" s="8"/>
      <c r="L18" s="2" t="s">
        <v>46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52.5" customHeight="1">
      <c r="A19" s="2">
        <f t="shared" si="1"/>
        <v>17</v>
      </c>
      <c r="B19" s="7"/>
      <c r="C19" s="7"/>
      <c r="D19" s="7"/>
      <c r="E19" s="12" t="s">
        <v>104</v>
      </c>
      <c r="F19" s="7"/>
      <c r="G19" s="13" t="s">
        <v>105</v>
      </c>
      <c r="H19" s="13" t="s">
        <v>103</v>
      </c>
      <c r="I19" s="5" t="s">
        <v>106</v>
      </c>
      <c r="J19" s="13" t="s">
        <v>107</v>
      </c>
      <c r="K19" s="8"/>
      <c r="L19" s="2" t="s">
        <v>46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52.5" customHeight="1">
      <c r="A20" s="2">
        <f t="shared" si="1"/>
        <v>18</v>
      </c>
      <c r="B20" s="7"/>
      <c r="C20" s="7"/>
      <c r="D20" s="7"/>
      <c r="E20" s="12" t="s">
        <v>108</v>
      </c>
      <c r="F20" s="7"/>
      <c r="G20" s="13" t="s">
        <v>109</v>
      </c>
      <c r="H20" s="13" t="s">
        <v>103</v>
      </c>
      <c r="I20" s="5" t="s">
        <v>106</v>
      </c>
      <c r="J20" s="13" t="s">
        <v>107</v>
      </c>
      <c r="K20" s="17"/>
      <c r="L20" s="2" t="s">
        <v>46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7.5" customHeight="1">
      <c r="A21" s="2">
        <f t="shared" si="1"/>
        <v>19</v>
      </c>
      <c r="B21" s="7"/>
      <c r="C21" s="7"/>
      <c r="D21" s="9"/>
      <c r="E21" s="12" t="s">
        <v>110</v>
      </c>
      <c r="F21" s="7"/>
      <c r="G21" s="13" t="s">
        <v>111</v>
      </c>
      <c r="H21" s="13" t="s">
        <v>103</v>
      </c>
      <c r="I21" s="5" t="s">
        <v>106</v>
      </c>
      <c r="J21" s="13" t="s">
        <v>107</v>
      </c>
      <c r="K21" s="21"/>
      <c r="L21" s="22" t="s">
        <v>46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7.5" customHeight="1">
      <c r="A22" s="2">
        <f t="shared" si="1"/>
        <v>20</v>
      </c>
      <c r="B22" s="7"/>
      <c r="C22" s="7"/>
      <c r="D22" s="18" t="s">
        <v>112</v>
      </c>
      <c r="E22" s="12" t="s">
        <v>113</v>
      </c>
      <c r="F22" s="7"/>
      <c r="G22" s="13" t="s">
        <v>114</v>
      </c>
      <c r="H22" s="13" t="s">
        <v>103</v>
      </c>
      <c r="I22" s="5" t="s">
        <v>106</v>
      </c>
      <c r="J22" s="13" t="s">
        <v>107</v>
      </c>
      <c r="K22" s="8"/>
      <c r="L22" s="2" t="s">
        <v>46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7.5" customHeight="1">
      <c r="A23" s="2">
        <f t="shared" si="1"/>
        <v>21</v>
      </c>
      <c r="B23" s="7"/>
      <c r="C23" s="7"/>
      <c r="D23" s="7"/>
      <c r="E23" s="12" t="s">
        <v>115</v>
      </c>
      <c r="F23" s="7"/>
      <c r="G23" s="13" t="s">
        <v>116</v>
      </c>
      <c r="H23" s="13" t="s">
        <v>103</v>
      </c>
      <c r="I23" s="5" t="s">
        <v>106</v>
      </c>
      <c r="J23" s="13" t="s">
        <v>107</v>
      </c>
      <c r="K23" s="8"/>
      <c r="L23" s="2" t="s">
        <v>46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7.5" customHeight="1">
      <c r="A24" s="2">
        <f t="shared" si="1"/>
        <v>22</v>
      </c>
      <c r="B24" s="7"/>
      <c r="C24" s="7"/>
      <c r="D24" s="7"/>
      <c r="E24" s="12" t="s">
        <v>117</v>
      </c>
      <c r="F24" s="7"/>
      <c r="G24" s="13" t="s">
        <v>118</v>
      </c>
      <c r="H24" s="13" t="s">
        <v>103</v>
      </c>
      <c r="I24" s="5" t="s">
        <v>106</v>
      </c>
      <c r="J24" s="13" t="s">
        <v>107</v>
      </c>
      <c r="K24" s="23"/>
      <c r="L24" s="2" t="s">
        <v>46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7.5" customHeight="1">
      <c r="A25" s="2">
        <f t="shared" si="1"/>
        <v>23</v>
      </c>
      <c r="B25" s="7"/>
      <c r="C25" s="7"/>
      <c r="D25" s="9"/>
      <c r="E25" s="12" t="s">
        <v>119</v>
      </c>
      <c r="F25" s="7"/>
      <c r="G25" s="13" t="s">
        <v>120</v>
      </c>
      <c r="H25" s="13" t="s">
        <v>103</v>
      </c>
      <c r="I25" s="5" t="s">
        <v>106</v>
      </c>
      <c r="J25" s="13" t="s">
        <v>107</v>
      </c>
      <c r="K25" s="23"/>
      <c r="L25" s="2" t="s">
        <v>46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7.5" customHeight="1">
      <c r="A26" s="2">
        <f t="shared" si="1"/>
        <v>24</v>
      </c>
      <c r="B26" s="7"/>
      <c r="C26" s="7"/>
      <c r="D26" s="20" t="s">
        <v>121</v>
      </c>
      <c r="E26" s="12" t="s">
        <v>122</v>
      </c>
      <c r="F26" s="7"/>
      <c r="G26" s="13" t="s">
        <v>123</v>
      </c>
      <c r="H26" s="11" t="s">
        <v>124</v>
      </c>
      <c r="I26" s="5" t="s">
        <v>106</v>
      </c>
      <c r="J26" s="13" t="s">
        <v>107</v>
      </c>
      <c r="K26" s="23"/>
      <c r="L26" s="2" t="s">
        <v>46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7.5" customHeight="1">
      <c r="A27" s="2">
        <f t="shared" si="1"/>
        <v>25</v>
      </c>
      <c r="B27" s="7"/>
      <c r="C27" s="7"/>
      <c r="D27" s="20" t="s">
        <v>125</v>
      </c>
      <c r="E27" s="12" t="s">
        <v>126</v>
      </c>
      <c r="F27" s="7"/>
      <c r="G27" s="13" t="s">
        <v>127</v>
      </c>
      <c r="H27" s="11" t="s">
        <v>128</v>
      </c>
      <c r="I27" s="5" t="s">
        <v>106</v>
      </c>
      <c r="J27" s="13" t="s">
        <v>107</v>
      </c>
      <c r="K27" s="24"/>
      <c r="L27" s="2" t="s">
        <v>46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7.5" customHeight="1">
      <c r="A28" s="2">
        <f t="shared" si="1"/>
        <v>26</v>
      </c>
      <c r="B28" s="7"/>
      <c r="C28" s="9"/>
      <c r="D28" s="20" t="s">
        <v>129</v>
      </c>
      <c r="E28" s="12" t="s">
        <v>130</v>
      </c>
      <c r="F28" s="7"/>
      <c r="G28" s="13" t="s">
        <v>131</v>
      </c>
      <c r="H28" s="25" t="s">
        <v>132</v>
      </c>
      <c r="I28" s="14" t="s">
        <v>106</v>
      </c>
      <c r="J28" s="19" t="s">
        <v>107</v>
      </c>
      <c r="K28" s="26"/>
      <c r="L28" s="3" t="s">
        <v>46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37.5" customHeight="1">
      <c r="A29" s="2">
        <f t="shared" si="1"/>
        <v>27</v>
      </c>
      <c r="B29" s="7"/>
      <c r="C29" s="3" t="s">
        <v>133</v>
      </c>
      <c r="D29" s="2" t="s">
        <v>134</v>
      </c>
      <c r="E29" s="8" t="s">
        <v>135</v>
      </c>
      <c r="F29" s="7"/>
      <c r="G29" s="8" t="s">
        <v>136</v>
      </c>
      <c r="H29" s="8" t="s">
        <v>137</v>
      </c>
      <c r="I29" s="5" t="s">
        <v>19</v>
      </c>
      <c r="J29" s="8" t="s">
        <v>138</v>
      </c>
      <c r="K29" s="23"/>
      <c r="L29" s="2" t="s">
        <v>46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37.5" customHeight="1">
      <c r="A30" s="2">
        <f t="shared" si="1"/>
        <v>28</v>
      </c>
      <c r="B30" s="7"/>
      <c r="C30" s="7"/>
      <c r="D30" s="2" t="s">
        <v>139</v>
      </c>
      <c r="E30" s="8" t="s">
        <v>140</v>
      </c>
      <c r="F30" s="7"/>
      <c r="G30" s="8" t="s">
        <v>141</v>
      </c>
      <c r="H30" s="8" t="s">
        <v>142</v>
      </c>
      <c r="I30" s="5" t="s">
        <v>19</v>
      </c>
      <c r="J30" s="8" t="s">
        <v>143</v>
      </c>
      <c r="K30" s="23"/>
      <c r="L30" s="2" t="s">
        <v>46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37.5" customHeight="1">
      <c r="A31" s="2">
        <f t="shared" si="1"/>
        <v>29</v>
      </c>
      <c r="B31" s="7"/>
      <c r="C31" s="7"/>
      <c r="D31" s="2" t="s">
        <v>144</v>
      </c>
      <c r="E31" s="8" t="s">
        <v>145</v>
      </c>
      <c r="F31" s="7"/>
      <c r="G31" s="8" t="s">
        <v>146</v>
      </c>
      <c r="H31" s="8" t="s">
        <v>147</v>
      </c>
      <c r="I31" s="5" t="s">
        <v>19</v>
      </c>
      <c r="J31" s="8" t="s">
        <v>148</v>
      </c>
      <c r="K31" s="23"/>
      <c r="L31" s="2" t="s">
        <v>46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7.5" customHeight="1">
      <c r="A32" s="2">
        <f t="shared" si="1"/>
        <v>30</v>
      </c>
      <c r="B32" s="7"/>
      <c r="C32" s="7"/>
      <c r="D32" s="2" t="s">
        <v>149</v>
      </c>
      <c r="E32" s="8" t="s">
        <v>145</v>
      </c>
      <c r="F32" s="7"/>
      <c r="G32" s="27" t="s">
        <v>150</v>
      </c>
      <c r="H32" s="8" t="s">
        <v>147</v>
      </c>
      <c r="I32" s="5" t="s">
        <v>19</v>
      </c>
      <c r="J32" s="8" t="s">
        <v>151</v>
      </c>
      <c r="K32" s="23"/>
      <c r="L32" s="2" t="s">
        <v>46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37.5" customHeight="1">
      <c r="A33" s="2">
        <f t="shared" si="1"/>
        <v>31</v>
      </c>
      <c r="B33" s="7"/>
      <c r="C33" s="7"/>
      <c r="D33" s="2" t="s">
        <v>152</v>
      </c>
      <c r="E33" s="8" t="s">
        <v>145</v>
      </c>
      <c r="F33" s="7"/>
      <c r="G33" s="28" t="s">
        <v>153</v>
      </c>
      <c r="H33" s="8" t="s">
        <v>147</v>
      </c>
      <c r="I33" s="5" t="s">
        <v>19</v>
      </c>
      <c r="J33" s="8" t="s">
        <v>154</v>
      </c>
      <c r="K33" s="23"/>
      <c r="L33" s="2" t="s">
        <v>46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37.5" customHeight="1">
      <c r="A34" s="2">
        <f t="shared" si="1"/>
        <v>32</v>
      </c>
      <c r="B34" s="7"/>
      <c r="C34" s="7"/>
      <c r="D34" s="2" t="s">
        <v>155</v>
      </c>
      <c r="E34" s="8" t="s">
        <v>145</v>
      </c>
      <c r="F34" s="7"/>
      <c r="G34" s="4" t="s">
        <v>156</v>
      </c>
      <c r="H34" s="8" t="s">
        <v>147</v>
      </c>
      <c r="I34" s="5" t="s">
        <v>19</v>
      </c>
      <c r="J34" s="8" t="s">
        <v>157</v>
      </c>
      <c r="K34" s="23"/>
      <c r="L34" s="2" t="s">
        <v>46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37.5" customHeight="1">
      <c r="A35" s="2">
        <f t="shared" si="1"/>
        <v>33</v>
      </c>
      <c r="B35" s="7"/>
      <c r="C35" s="7"/>
      <c r="D35" s="2" t="s">
        <v>158</v>
      </c>
      <c r="E35" s="8" t="s">
        <v>145</v>
      </c>
      <c r="F35" s="7"/>
      <c r="G35" s="4" t="s">
        <v>159</v>
      </c>
      <c r="H35" s="8" t="s">
        <v>147</v>
      </c>
      <c r="I35" s="5" t="s">
        <v>19</v>
      </c>
      <c r="J35" s="8" t="s">
        <v>160</v>
      </c>
      <c r="K35" s="23"/>
      <c r="L35" s="2" t="s">
        <v>46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37.5" customHeight="1">
      <c r="A36" s="2">
        <f t="shared" si="1"/>
        <v>34</v>
      </c>
      <c r="B36" s="7"/>
      <c r="C36" s="7"/>
      <c r="D36" s="2" t="s">
        <v>161</v>
      </c>
      <c r="E36" s="8" t="s">
        <v>145</v>
      </c>
      <c r="F36" s="7"/>
      <c r="G36" s="4" t="s">
        <v>162</v>
      </c>
      <c r="H36" s="8" t="s">
        <v>147</v>
      </c>
      <c r="I36" s="5" t="s">
        <v>19</v>
      </c>
      <c r="J36" s="8" t="s">
        <v>163</v>
      </c>
      <c r="K36" s="23"/>
      <c r="L36" s="2" t="s">
        <v>46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37.5" customHeight="1">
      <c r="A37" s="2">
        <f t="shared" si="1"/>
        <v>35</v>
      </c>
      <c r="B37" s="7"/>
      <c r="C37" s="7"/>
      <c r="D37" s="2" t="s">
        <v>164</v>
      </c>
      <c r="E37" s="8" t="s">
        <v>145</v>
      </c>
      <c r="F37" s="7"/>
      <c r="G37" s="4" t="s">
        <v>165</v>
      </c>
      <c r="H37" s="8" t="s">
        <v>147</v>
      </c>
      <c r="I37" s="5" t="s">
        <v>19</v>
      </c>
      <c r="J37" s="8" t="s">
        <v>166</v>
      </c>
      <c r="K37" s="23"/>
      <c r="L37" s="2" t="s">
        <v>46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37.5" customHeight="1">
      <c r="A38" s="2">
        <f t="shared" si="1"/>
        <v>36</v>
      </c>
      <c r="B38" s="7"/>
      <c r="C38" s="9"/>
      <c r="D38" s="2" t="s">
        <v>167</v>
      </c>
      <c r="E38" s="8" t="s">
        <v>145</v>
      </c>
      <c r="F38" s="7"/>
      <c r="G38" s="4" t="s">
        <v>168</v>
      </c>
      <c r="H38" s="8" t="s">
        <v>147</v>
      </c>
      <c r="I38" s="5" t="s">
        <v>19</v>
      </c>
      <c r="J38" s="8" t="s">
        <v>169</v>
      </c>
      <c r="K38" s="23"/>
      <c r="L38" s="2" t="s">
        <v>46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7.5" customHeight="1">
      <c r="A39" s="2">
        <f t="shared" si="1"/>
        <v>37</v>
      </c>
      <c r="B39" s="7"/>
      <c r="C39" s="29" t="s">
        <v>170</v>
      </c>
      <c r="D39" s="30" t="s">
        <v>171</v>
      </c>
      <c r="E39" s="31" t="s">
        <v>172</v>
      </c>
      <c r="F39" s="7"/>
      <c r="G39" s="31" t="s">
        <v>173</v>
      </c>
      <c r="H39" s="31" t="s">
        <v>174</v>
      </c>
      <c r="I39" s="32" t="s">
        <v>19</v>
      </c>
      <c r="J39" s="31" t="s">
        <v>175</v>
      </c>
      <c r="K39" s="33"/>
      <c r="L39" s="22" t="s">
        <v>46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37.5" customHeight="1">
      <c r="A40" s="2">
        <f t="shared" si="1"/>
        <v>38</v>
      </c>
      <c r="B40" s="7"/>
      <c r="C40" s="7"/>
      <c r="D40" s="34" t="s">
        <v>176</v>
      </c>
      <c r="E40" s="27" t="s">
        <v>177</v>
      </c>
      <c r="F40" s="7"/>
      <c r="G40" s="27" t="s">
        <v>178</v>
      </c>
      <c r="H40" s="27" t="s">
        <v>179</v>
      </c>
      <c r="I40" s="5" t="s">
        <v>19</v>
      </c>
      <c r="J40" s="28" t="s">
        <v>180</v>
      </c>
      <c r="K40" s="23"/>
      <c r="L40" s="2" t="s">
        <v>46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7.5" customHeight="1">
      <c r="A41" s="2">
        <f t="shared" si="1"/>
        <v>39</v>
      </c>
      <c r="B41" s="7"/>
      <c r="C41" s="7"/>
      <c r="D41" s="34" t="s">
        <v>181</v>
      </c>
      <c r="E41" s="27" t="s">
        <v>182</v>
      </c>
      <c r="F41" s="7"/>
      <c r="G41" s="13" t="s">
        <v>183</v>
      </c>
      <c r="H41" s="13" t="s">
        <v>184</v>
      </c>
      <c r="I41" s="5" t="s">
        <v>19</v>
      </c>
      <c r="J41" s="28" t="s">
        <v>185</v>
      </c>
      <c r="K41" s="23"/>
      <c r="L41" s="2" t="s">
        <v>46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37.5" customHeight="1">
      <c r="A42" s="2">
        <f t="shared" si="1"/>
        <v>40</v>
      </c>
      <c r="B42" s="9"/>
      <c r="C42" s="9"/>
      <c r="D42" s="34" t="s">
        <v>186</v>
      </c>
      <c r="E42" s="27" t="s">
        <v>187</v>
      </c>
      <c r="F42" s="9"/>
      <c r="G42" s="13" t="s">
        <v>188</v>
      </c>
      <c r="H42" s="35" t="s">
        <v>189</v>
      </c>
      <c r="I42" s="5" t="s">
        <v>19</v>
      </c>
      <c r="J42" s="28" t="s">
        <v>190</v>
      </c>
      <c r="K42" s="23"/>
      <c r="L42" s="2" t="s">
        <v>46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37.5" customHeight="1"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37.5" customHeight="1"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37.5" customHeight="1"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C46" s="36"/>
      <c r="D46" s="36"/>
      <c r="E46" s="37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37.5" customHeight="1"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37.5" customHeight="1"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37.5" customHeight="1"/>
    <row r="50" ht="37.5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C5:C11"/>
    <mergeCell ref="C12:C16"/>
    <mergeCell ref="D5:D11"/>
    <mergeCell ref="D18:D21"/>
    <mergeCell ref="C17:C28"/>
    <mergeCell ref="C29:C38"/>
    <mergeCell ref="B2:B4"/>
    <mergeCell ref="F2:F4"/>
    <mergeCell ref="C3:C4"/>
    <mergeCell ref="B5:B11"/>
    <mergeCell ref="F5:F42"/>
    <mergeCell ref="B12:B42"/>
    <mergeCell ref="D22:D25"/>
    <mergeCell ref="C39:C42"/>
  </mergeCells>
  <conditionalFormatting sqref="A1:G1">
    <cfRule type="containsBlanks" dxfId="0" priority="1">
      <formula>LEN(TRIM(A1))=0</formula>
    </cfRule>
  </conditionalFormatting>
  <conditionalFormatting sqref="A1:G1">
    <cfRule type="containsText" dxfId="1" priority="2" operator="containsText" text="Pass">
      <formula>NOT(ISERROR(SEARCH(("Pass"),(A1))))</formula>
    </cfRule>
  </conditionalFormatting>
  <conditionalFormatting sqref="A1:G1">
    <cfRule type="containsText" dxfId="2" priority="3" operator="containsText" text="Fail">
      <formula>NOT(ISERROR(SEARCH(("Fail"),(A1))))</formula>
    </cfRule>
  </conditionalFormatting>
  <conditionalFormatting sqref="A1:G1">
    <cfRule type="containsText" dxfId="3" priority="4" operator="containsText" text="Block">
      <formula>NOT(ISERROR(SEARCH(("Block"),(A1))))</formula>
    </cfRule>
  </conditionalFormatting>
  <conditionalFormatting sqref="A1:G1">
    <cfRule type="containsText" dxfId="4" priority="5" operator="containsText" text="N/A">
      <formula>NOT(ISERROR(SEARCH(("N/A"),(A1))))</formula>
    </cfRule>
  </conditionalFormatting>
  <conditionalFormatting sqref="A1:G1">
    <cfRule type="containsText" dxfId="5" priority="6" operator="containsText" text="N/T">
      <formula>NOT(ISERROR(SEARCH(("N/T"),(A1))))</formula>
    </cfRule>
  </conditionalFormatting>
  <conditionalFormatting sqref="I1">
    <cfRule type="containsText" dxfId="6" priority="7" operator="containsText" text="Pass">
      <formula>NOT(ISERROR(SEARCH(("Pass"),(I1))))</formula>
    </cfRule>
  </conditionalFormatting>
  <conditionalFormatting sqref="I1">
    <cfRule type="containsText" dxfId="7" priority="8" operator="containsText" text="Fail">
      <formula>NOT(ISERROR(SEARCH(("Fail"),(I1))))</formula>
    </cfRule>
  </conditionalFormatting>
  <conditionalFormatting sqref="I1">
    <cfRule type="containsText" dxfId="8" priority="9" operator="containsText" text="Block">
      <formula>NOT(ISERROR(SEARCH(("Block"),(I1))))</formula>
    </cfRule>
  </conditionalFormatting>
  <conditionalFormatting sqref="I1">
    <cfRule type="containsText" dxfId="9" priority="10" operator="containsText" text="N/A">
      <formula>NOT(ISERROR(SEARCH(("N/A"),(I1))))</formula>
    </cfRule>
  </conditionalFormatting>
  <conditionalFormatting sqref="I1:I42">
    <cfRule type="containsBlanks" dxfId="0" priority="11">
      <formula>LEN(TRIM(I1))=0</formula>
    </cfRule>
  </conditionalFormatting>
  <conditionalFormatting sqref="I1:I42">
    <cfRule type="containsText" dxfId="5" priority="12" operator="containsText" text="N/T">
      <formula>NOT(ISERROR(SEARCH(("N/T"),(I1))))</formula>
    </cfRule>
  </conditionalFormatting>
  <conditionalFormatting sqref="I2:I42">
    <cfRule type="containsText" dxfId="1" priority="13" operator="containsText" text="Pass">
      <formula>NOT(ISERROR(SEARCH(("Pass"),(I2))))</formula>
    </cfRule>
  </conditionalFormatting>
  <conditionalFormatting sqref="I2:I42">
    <cfRule type="containsText" dxfId="2" priority="14" operator="containsText" text="Fail">
      <formula>NOT(ISERROR(SEARCH(("Fail"),(I2))))</formula>
    </cfRule>
  </conditionalFormatting>
  <conditionalFormatting sqref="I2:I42">
    <cfRule type="containsText" dxfId="3" priority="15" operator="containsText" text="Block">
      <formula>NOT(ISERROR(SEARCH(("Block"),(I2))))</formula>
    </cfRule>
  </conditionalFormatting>
  <conditionalFormatting sqref="I2:I42">
    <cfRule type="containsText" dxfId="4" priority="16" operator="containsText" text="N/A">
      <formula>NOT(ISERROR(SEARCH(("N/A"),(I2))))</formula>
    </cfRule>
  </conditionalFormatting>
  <conditionalFormatting sqref="J1:L1">
    <cfRule type="containsBlanks" dxfId="0" priority="17">
      <formula>LEN(TRIM(J1))=0</formula>
    </cfRule>
  </conditionalFormatting>
  <conditionalFormatting sqref="J1:L1">
    <cfRule type="containsText" dxfId="1" priority="18" operator="containsText" text="Pass">
      <formula>NOT(ISERROR(SEARCH(("Pass"),(J1))))</formula>
    </cfRule>
  </conditionalFormatting>
  <conditionalFormatting sqref="J1:L1">
    <cfRule type="containsText" dxfId="2" priority="19" operator="containsText" text="Fail">
      <formula>NOT(ISERROR(SEARCH(("Fail"),(J1))))</formula>
    </cfRule>
  </conditionalFormatting>
  <conditionalFormatting sqref="J1:L1">
    <cfRule type="containsText" dxfId="3" priority="20" operator="containsText" text="Block">
      <formula>NOT(ISERROR(SEARCH(("Block"),(J1))))</formula>
    </cfRule>
  </conditionalFormatting>
  <conditionalFormatting sqref="J1:L1">
    <cfRule type="containsText" dxfId="4" priority="21" operator="containsText" text="N/A">
      <formula>NOT(ISERROR(SEARCH(("N/A"),(J1))))</formula>
    </cfRule>
  </conditionalFormatting>
  <conditionalFormatting sqref="J1:L1">
    <cfRule type="containsText" dxfId="5" priority="22" operator="containsText" text="N/T">
      <formula>NOT(ISERROR(SEARCH(("N/T"),(J1))))</formula>
    </cfRule>
  </conditionalFormatting>
  <dataValidations>
    <dataValidation type="list" allowBlank="1" showErrorMessage="1" sqref="I2:I42">
      <formula1>"Pass,Fail,Block,N/A,N/T"</formula1>
    </dataValidation>
    <dataValidation type="list" allowBlank="1" showErrorMessage="1" sqref="L2:L42">
      <formula1>"게임실행,메뉴기능,인게임기능"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6.43"/>
    <col customWidth="1" min="3" max="3" width="15.71"/>
    <col customWidth="1" min="4" max="9" width="8.71"/>
    <col customWidth="1" min="10" max="10" width="9.71"/>
    <col customWidth="1" min="11" max="26" width="12.57"/>
  </cols>
  <sheetData>
    <row r="1" ht="12.75" customHeight="1">
      <c r="A1" s="38" t="s">
        <v>191</v>
      </c>
    </row>
    <row r="2" ht="12.75" customHeight="1">
      <c r="A2" s="39" t="s">
        <v>192</v>
      </c>
      <c r="B2" s="39" t="s">
        <v>193</v>
      </c>
      <c r="C2" s="39" t="s">
        <v>194</v>
      </c>
      <c r="D2" s="39" t="s">
        <v>19</v>
      </c>
      <c r="E2" s="39" t="s">
        <v>106</v>
      </c>
      <c r="F2" s="39" t="s">
        <v>195</v>
      </c>
      <c r="G2" s="39" t="s">
        <v>196</v>
      </c>
      <c r="H2" s="39" t="s">
        <v>197</v>
      </c>
      <c r="I2" s="39" t="s">
        <v>198</v>
      </c>
      <c r="J2" s="39" t="s">
        <v>199</v>
      </c>
    </row>
    <row r="3" ht="12.75" customHeight="1">
      <c r="A3" s="40" t="s">
        <v>21</v>
      </c>
      <c r="B3" s="41">
        <f>COUNTIF(TestCase!L:L,A3)</f>
        <v>3</v>
      </c>
      <c r="C3" s="42">
        <f t="shared" ref="C3:C5" si="1">IFERROR(B3/$B$6,0)</f>
        <v>0.07317073171</v>
      </c>
      <c r="D3" s="41">
        <f>COUNTIFS(TestCase!$I:$I,"*"&amp;D$2&amp;"*",TestCase!$L:$L,$A3)</f>
        <v>3</v>
      </c>
      <c r="E3" s="41">
        <f>COUNTIFS(TestCase!$I:$I,"*"&amp;E$2&amp;"*",TestCase!$L:$L,$A3)</f>
        <v>0</v>
      </c>
      <c r="F3" s="41">
        <f>COUNTIFS(TestCase!$I:$I,"*"&amp;F$2&amp;"*",TestCase!$L:$L,$A3)</f>
        <v>0</v>
      </c>
      <c r="G3" s="41">
        <f>COUNTIFS(TestCase!$I:$I,"*"&amp;G$2&amp;"*",TestCase!$L:$L,$A3)</f>
        <v>0</v>
      </c>
      <c r="H3" s="41">
        <f>COUNTIFS(TestCase!$I:$I,"*"&amp;H$2&amp;"*",TestCase!$L:$L,$A3)</f>
        <v>0</v>
      </c>
      <c r="I3" s="41">
        <f>COUNTIFS(TestCase!$I:$I,"*"&amp;I$2&amp;"*",TestCase!$L:$L,$A3)</f>
        <v>0</v>
      </c>
      <c r="J3" s="43">
        <f t="shared" ref="J3:J5" si="2">I3/B3</f>
        <v>0</v>
      </c>
    </row>
    <row r="4" ht="12.75" customHeight="1">
      <c r="A4" s="40" t="s">
        <v>41</v>
      </c>
      <c r="B4" s="41">
        <f>COUNTIF(TestCase!L:L,A4)</f>
        <v>1</v>
      </c>
      <c r="C4" s="42">
        <f t="shared" si="1"/>
        <v>0.0243902439</v>
      </c>
      <c r="D4" s="41">
        <f>COUNTIFS(TestCase!$I:$I,"*"&amp;D$2&amp;"*",TestCase!$L:$L,$A4)</f>
        <v>1</v>
      </c>
      <c r="E4" s="41">
        <f>COUNTIFS(TestCase!$I:$I,"*"&amp;E$2&amp;"*",TestCase!$L:$L,$A4)</f>
        <v>0</v>
      </c>
      <c r="F4" s="41">
        <f>COUNTIFS(TestCase!$I:$I,"*"&amp;F$2&amp;"*",TestCase!$L:$L,$A4)</f>
        <v>0</v>
      </c>
      <c r="G4" s="41">
        <f>COUNTIFS(TestCase!$I:$I,"*"&amp;G$2&amp;"*",TestCase!$L:$L,$A4)</f>
        <v>0</v>
      </c>
      <c r="H4" s="41">
        <f>COUNTIFS(TestCase!$I:$I,"*"&amp;H$2&amp;"*",TestCase!$L:$L,$A4)</f>
        <v>0</v>
      </c>
      <c r="I4" s="44">
        <f t="shared" ref="I4:I5" si="3">SUM(D4:H4)</f>
        <v>1</v>
      </c>
      <c r="J4" s="43">
        <f t="shared" si="2"/>
        <v>1</v>
      </c>
    </row>
    <row r="5" ht="12.75" customHeight="1">
      <c r="A5" s="40" t="s">
        <v>46</v>
      </c>
      <c r="B5" s="41">
        <f>COUNTIF(TestCase!L:L,A5)</f>
        <v>37</v>
      </c>
      <c r="C5" s="42">
        <f t="shared" si="1"/>
        <v>0.9024390244</v>
      </c>
      <c r="D5" s="41">
        <f>COUNTIFS(TestCase!$I:$I,"*"&amp;D$2&amp;"*",TestCase!$L:$L,$A5)</f>
        <v>27</v>
      </c>
      <c r="E5" s="41">
        <f>COUNTIFS(TestCase!$I:$I,"*"&amp;E$2&amp;"*",TestCase!$L:$L,$A5)</f>
        <v>10</v>
      </c>
      <c r="F5" s="41">
        <f>COUNTIFS(TestCase!$I:$I,"*"&amp;F$2&amp;"*",TestCase!$L:$L,$A5)</f>
        <v>0</v>
      </c>
      <c r="G5" s="41">
        <f>COUNTIFS(TestCase!$I:$I,"*"&amp;G$2&amp;"*",TestCase!$L:$L,$A5)</f>
        <v>0</v>
      </c>
      <c r="H5" s="41">
        <f>COUNTIFS(TestCase!$I:$I,"*"&amp;H$2&amp;"*",TestCase!$L:$L,$A5)</f>
        <v>0</v>
      </c>
      <c r="I5" s="44">
        <f t="shared" si="3"/>
        <v>37</v>
      </c>
      <c r="J5" s="43">
        <f t="shared" si="2"/>
        <v>1</v>
      </c>
    </row>
    <row r="6" ht="12.75" customHeight="1">
      <c r="A6" s="45" t="s">
        <v>198</v>
      </c>
      <c r="B6" s="45">
        <f t="shared" ref="B6:I6" si="4">SUM(B3:B5)</f>
        <v>41</v>
      </c>
      <c r="C6" s="46">
        <f t="shared" si="4"/>
        <v>1</v>
      </c>
      <c r="D6" s="44">
        <f t="shared" si="4"/>
        <v>31</v>
      </c>
      <c r="E6" s="44">
        <f t="shared" si="4"/>
        <v>10</v>
      </c>
      <c r="F6" s="44">
        <f t="shared" si="4"/>
        <v>0</v>
      </c>
      <c r="G6" s="44">
        <f t="shared" si="4"/>
        <v>0</v>
      </c>
      <c r="H6" s="44">
        <f t="shared" si="4"/>
        <v>0</v>
      </c>
      <c r="I6" s="44">
        <f t="shared" si="4"/>
        <v>38</v>
      </c>
      <c r="J6" s="44"/>
    </row>
    <row r="7" ht="12.75" customHeight="1">
      <c r="A7" s="45" t="s">
        <v>199</v>
      </c>
      <c r="B7" s="45"/>
      <c r="C7" s="45"/>
      <c r="D7" s="43">
        <f t="shared" ref="D7:I7" si="5">D6/$B6</f>
        <v>0.756097561</v>
      </c>
      <c r="E7" s="43">
        <f t="shared" si="5"/>
        <v>0.243902439</v>
      </c>
      <c r="F7" s="43">
        <f t="shared" si="5"/>
        <v>0</v>
      </c>
      <c r="G7" s="43">
        <f t="shared" si="5"/>
        <v>0</v>
      </c>
      <c r="H7" s="43">
        <f t="shared" si="5"/>
        <v>0</v>
      </c>
      <c r="I7" s="43">
        <f t="shared" si="5"/>
        <v>0.9268292683</v>
      </c>
      <c r="J7" s="44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2025-09-15T15:28:01Z</dcterms:created>
  <dc:creator>허준</dc:creator>
</cp:coreProperties>
</file>